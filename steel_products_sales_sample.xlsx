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OneDrive\Desktop\"/>
    </mc:Choice>
  </mc:AlternateContent>
  <xr:revisionPtr revIDLastSave="0" documentId="8_{4E139356-8A62-45F4-B049-67AF7D60B9AF}" xr6:coauthVersionLast="47" xr6:coauthVersionMax="47" xr10:uidLastSave="{00000000-0000-0000-0000-000000000000}"/>
  <bookViews>
    <workbookView xWindow="-108" yWindow="-108" windowWidth="23256" windowHeight="12456" xr2:uid="{00000000-000D-0000-FFFF-FFFF00000000}"/>
  </bookViews>
  <sheets>
    <sheet name="Sales_Data" sheetId="1" r:id="rId1"/>
    <sheet name="Slicers" sheetId="15" r:id="rId2"/>
    <sheet name="Dashboard" sheetId="5" r:id="rId3"/>
    <sheet name="Pivot - Product Family" sheetId="8" r:id="rId4"/>
    <sheet name="Pivot - Region" sheetId="9" r:id="rId5"/>
    <sheet name="Pivot - Month" sheetId="10" r:id="rId6"/>
    <sheet name="Pivot - Product" sheetId="11" r:id="rId7"/>
    <sheet name="Pivot - Customer Segment" sheetId="12" r:id="rId8"/>
    <sheet name="Revenue By region " sheetId="13" r:id="rId9"/>
    <sheet name=" Monthly Sales Trend" sheetId="14" r:id="rId10"/>
    <sheet name="Sources_Assumptions" sheetId="4" r:id="rId11"/>
  </sheets>
  <definedNames>
    <definedName name="Slicer_Customer_Segment">#N/A</definedName>
    <definedName name="Slicer_Product_Family">#N/A</definedName>
    <definedName name="Slicer_Region">#N/A</definedName>
    <definedName name="Slicer_Year">#N/A</definedName>
  </definedNames>
  <calcPr calcId="191029"/>
  <pivotCaches>
    <pivotCache cacheId="16"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5:slicerCaches>
    </ext>
  </extLst>
</workbook>
</file>

<file path=xl/calcChain.xml><?xml version="1.0" encoding="utf-8"?>
<calcChain xmlns="http://schemas.openxmlformats.org/spreadsheetml/2006/main">
  <c r="A11" i="5" l="1"/>
  <c r="A8" i="5"/>
  <c r="A5" i="5"/>
  <c r="A2" i="5"/>
</calcChain>
</file>

<file path=xl/sharedStrings.xml><?xml version="1.0" encoding="utf-8"?>
<sst xmlns="http://schemas.openxmlformats.org/spreadsheetml/2006/main" count="6809" uniqueCount="655">
  <si>
    <t>Order ID</t>
  </si>
  <si>
    <t>Order Date</t>
  </si>
  <si>
    <t>Year</t>
  </si>
  <si>
    <t>Month</t>
  </si>
  <si>
    <t>Quarter</t>
  </si>
  <si>
    <t>Region</t>
  </si>
  <si>
    <t>Country</t>
  </si>
  <si>
    <t>Channel</t>
  </si>
  <si>
    <t>Customer Segment</t>
  </si>
  <si>
    <t>End Market</t>
  </si>
  <si>
    <t>Product Family</t>
  </si>
  <si>
    <t>Product Form</t>
  </si>
  <si>
    <t>Grade/Spec</t>
  </si>
  <si>
    <t>Thickness mm</t>
  </si>
  <si>
    <t>Width/Diameter mm</t>
  </si>
  <si>
    <t>Length m</t>
  </si>
  <si>
    <t>Quantity tons</t>
  </si>
  <si>
    <t>Unit Price USD/t</t>
  </si>
  <si>
    <t>Gross Sales USD</t>
  </si>
  <si>
    <t>Discount %</t>
  </si>
  <si>
    <t>Net Sales USD</t>
  </si>
  <si>
    <t>Freight USD</t>
  </si>
  <si>
    <t>Margin %</t>
  </si>
  <si>
    <t>Gross Margin USD</t>
  </si>
  <si>
    <t>Payment Terms</t>
  </si>
  <si>
    <t>Sales Rep</t>
  </si>
  <si>
    <t>Data Note</t>
  </si>
  <si>
    <t>Aug</t>
  </si>
  <si>
    <t>Q3</t>
  </si>
  <si>
    <t>North America</t>
  </si>
  <si>
    <t>Canada</t>
  </si>
  <si>
    <t>Export distributor</t>
  </si>
  <si>
    <t>Pipe mill</t>
  </si>
  <si>
    <t>Advance</t>
  </si>
  <si>
    <t>M. Alvarez</t>
  </si>
  <si>
    <t>Synthetic sample row shaped by public steel product sales and shipment references</t>
  </si>
  <si>
    <t>STL-2025-00002</t>
  </si>
  <si>
    <t>Sep</t>
  </si>
  <si>
    <t>East Asia</t>
  </si>
  <si>
    <t>Japan</t>
  </si>
  <si>
    <t>Export direct</t>
  </si>
  <si>
    <t>Construction contractor</t>
  </si>
  <si>
    <t>Infrastructure</t>
  </si>
  <si>
    <t>Rebar</t>
  </si>
  <si>
    <t>Bar</t>
  </si>
  <si>
    <t>BS 4449</t>
  </si>
  <si>
    <t>R. Iyer</t>
  </si>
  <si>
    <t>STL-2024-00003</t>
  </si>
  <si>
    <t>Apr</t>
  </si>
  <si>
    <t>Q2</t>
  </si>
  <si>
    <t>Europe</t>
  </si>
  <si>
    <t>Italy</t>
  </si>
  <si>
    <t>Energy company</t>
  </si>
  <si>
    <t>Industrial machinery</t>
  </si>
  <si>
    <t>Plate</t>
  </si>
  <si>
    <t>JIS SM490</t>
  </si>
  <si>
    <t>Net 45</t>
  </si>
  <si>
    <t>S. Kapoor</t>
  </si>
  <si>
    <t>STL-2024-00004</t>
  </si>
  <si>
    <t>Mar</t>
  </si>
  <si>
    <t>Q1</t>
  </si>
  <si>
    <t>Middle East</t>
  </si>
  <si>
    <t>Qatar</t>
  </si>
  <si>
    <t>Domestic direct</t>
  </si>
  <si>
    <t>Fabricator</t>
  </si>
  <si>
    <t>Energy</t>
  </si>
  <si>
    <t>Tubular OCTG</t>
  </si>
  <si>
    <t>Tube</t>
  </si>
  <si>
    <t>API P110</t>
  </si>
  <si>
    <t>LC at sight</t>
  </si>
  <si>
    <t>K. Wilson</t>
  </si>
  <si>
    <t>Jan</t>
  </si>
  <si>
    <t>Taiwan</t>
  </si>
  <si>
    <t>Domestic distributor</t>
  </si>
  <si>
    <t>Service center</t>
  </si>
  <si>
    <t>Net 30</t>
  </si>
  <si>
    <t>Nov</t>
  </si>
  <si>
    <t>Q4</t>
  </si>
  <si>
    <t>Mexico</t>
  </si>
  <si>
    <t>Construction</t>
  </si>
  <si>
    <t>A. Mehta</t>
  </si>
  <si>
    <t>May</t>
  </si>
  <si>
    <t>South Korea</t>
  </si>
  <si>
    <t>Net 15</t>
  </si>
  <si>
    <t>STL-2025-00008</t>
  </si>
  <si>
    <t>ASTM A615</t>
  </si>
  <si>
    <t>Africa</t>
  </si>
  <si>
    <t>Egypt</t>
  </si>
  <si>
    <t>OEM</t>
  </si>
  <si>
    <t>D. Chen</t>
  </si>
  <si>
    <t>STL-2025-00010</t>
  </si>
  <si>
    <t>Jun</t>
  </si>
  <si>
    <t>Poland</t>
  </si>
  <si>
    <t>Packaging manufacturer</t>
  </si>
  <si>
    <t>ASTM A516</t>
  </si>
  <si>
    <t>United States</t>
  </si>
  <si>
    <t>STL-2025-00012</t>
  </si>
  <si>
    <t>Dec</t>
  </si>
  <si>
    <t>Southeast Asia</t>
  </si>
  <si>
    <t>Indonesia</t>
  </si>
  <si>
    <t>Steel pipe</t>
  </si>
  <si>
    <t>Pipe</t>
  </si>
  <si>
    <t>JIS G3444</t>
  </si>
  <si>
    <t>STL-2024-00014</t>
  </si>
  <si>
    <t>Jul</t>
  </si>
  <si>
    <t>Germany</t>
  </si>
  <si>
    <t>N. Sharma</t>
  </si>
  <si>
    <t>STL-2024-00016</t>
  </si>
  <si>
    <t>API 5L</t>
  </si>
  <si>
    <t>STL-2024-00017</t>
  </si>
  <si>
    <t>Oct</t>
  </si>
  <si>
    <t>Malaysia</t>
  </si>
  <si>
    <t>STL-2024-00018</t>
  </si>
  <si>
    <t>Feb</t>
  </si>
  <si>
    <t>UAE</t>
  </si>
  <si>
    <t>Spain</t>
  </si>
  <si>
    <t>Distributor</t>
  </si>
  <si>
    <t>Kenya</t>
  </si>
  <si>
    <t>South Asia</t>
  </si>
  <si>
    <t>India</t>
  </si>
  <si>
    <t>STL-2024-00027</t>
  </si>
  <si>
    <t>Sri Lanka</t>
  </si>
  <si>
    <t>API N80</t>
  </si>
  <si>
    <t>STL-2024-00031</t>
  </si>
  <si>
    <t>B500B</t>
  </si>
  <si>
    <t>F. Haddad</t>
  </si>
  <si>
    <t>STL-2025-00032</t>
  </si>
  <si>
    <t>Shipbuilding</t>
  </si>
  <si>
    <t>STL-2024-00033</t>
  </si>
  <si>
    <t>EN 10219</t>
  </si>
  <si>
    <t>STL-2024-00036</t>
  </si>
  <si>
    <t>STL-2025-00039</t>
  </si>
  <si>
    <t>Saudi Arabia</t>
  </si>
  <si>
    <t>STL-2024-00040</t>
  </si>
  <si>
    <t>South Africa</t>
  </si>
  <si>
    <t>Thailand</t>
  </si>
  <si>
    <t>STL-2024-00043</t>
  </si>
  <si>
    <t>Vietnam</t>
  </si>
  <si>
    <t>STL-2024-00045</t>
  </si>
  <si>
    <t>STL-2025-00046</t>
  </si>
  <si>
    <t>API L80</t>
  </si>
  <si>
    <t>STL-2025-00048</t>
  </si>
  <si>
    <t>STL-2025-00049</t>
  </si>
  <si>
    <t>STL-2024-00052</t>
  </si>
  <si>
    <t>STL-2025-00053</t>
  </si>
  <si>
    <t>ASTM A53</t>
  </si>
  <si>
    <t>STL-2025-00054</t>
  </si>
  <si>
    <t>STL-2024-00055</t>
  </si>
  <si>
    <t>STL-2025-00057</t>
  </si>
  <si>
    <t>STL-2025-00058</t>
  </si>
  <si>
    <t>STL-2025-00062</t>
  </si>
  <si>
    <t>STL-2024-00063</t>
  </si>
  <si>
    <t>API J55</t>
  </si>
  <si>
    <t>STL-2024-00065</t>
  </si>
  <si>
    <t>STL-2024-00071</t>
  </si>
  <si>
    <t>Bangladesh</t>
  </si>
  <si>
    <t>STL-2025-00073</t>
  </si>
  <si>
    <t>STL-2025-00075</t>
  </si>
  <si>
    <t>ASTM A572</t>
  </si>
  <si>
    <t>STL-2025-00076</t>
  </si>
  <si>
    <t>STL-2024-00082</t>
  </si>
  <si>
    <t>STL-2024-00083</t>
  </si>
  <si>
    <t>EN S355</t>
  </si>
  <si>
    <t>STL-2025-00084</t>
  </si>
  <si>
    <t>STL-2025-00092</t>
  </si>
  <si>
    <t>STL-2025-00093</t>
  </si>
  <si>
    <t>STL-2025-00099</t>
  </si>
  <si>
    <t>STL-2024-00102</t>
  </si>
  <si>
    <t>STL-2025-00108</t>
  </si>
  <si>
    <t>STL-2025-00109</t>
  </si>
  <si>
    <t>STL-2025-00113</t>
  </si>
  <si>
    <t>IS 1786</t>
  </si>
  <si>
    <t>STL-2025-00117</t>
  </si>
  <si>
    <t>STL-2024-00118</t>
  </si>
  <si>
    <t>STL-2024-00119</t>
  </si>
  <si>
    <t>STL-2025-00121</t>
  </si>
  <si>
    <t>STL-2024-00124</t>
  </si>
  <si>
    <t>STL-2025-00126</t>
  </si>
  <si>
    <t>STL-2024-00130</t>
  </si>
  <si>
    <t>STL-2024-00131</t>
  </si>
  <si>
    <t>STL-2025-00137</t>
  </si>
  <si>
    <t>STL-2025-00139</t>
  </si>
  <si>
    <t>STL-2024-00141</t>
  </si>
  <si>
    <t>STL-2025-00144</t>
  </si>
  <si>
    <t>STL-2024-00145</t>
  </si>
  <si>
    <t>STL-2024-00146</t>
  </si>
  <si>
    <t>STL-2025-00155</t>
  </si>
  <si>
    <t>STL-2024-00156</t>
  </si>
  <si>
    <t>STL-2025-00159</t>
  </si>
  <si>
    <t>STL-2025-00162</t>
  </si>
  <si>
    <t>STL-2025-00167</t>
  </si>
  <si>
    <t>STL-2025-00171</t>
  </si>
  <si>
    <t>STL-2024-00172</t>
  </si>
  <si>
    <t>STL-2024-00174</t>
  </si>
  <si>
    <t>STL-2025-00178</t>
  </si>
  <si>
    <t>STL-2024-00180</t>
  </si>
  <si>
    <t>STL-2024-00187</t>
  </si>
  <si>
    <t>STL-2024-00189</t>
  </si>
  <si>
    <t>STL-2024-00195</t>
  </si>
  <si>
    <t>STL-2025-00200</t>
  </si>
  <si>
    <t>STL-2024-00201</t>
  </si>
  <si>
    <t>STL-2024-00202</t>
  </si>
  <si>
    <t>STL-2024-00207</t>
  </si>
  <si>
    <t>STL-2024-00209</t>
  </si>
  <si>
    <t>STL-2025-00211</t>
  </si>
  <si>
    <t>STL-2025-00216</t>
  </si>
  <si>
    <t>STL-2025-00221</t>
  </si>
  <si>
    <t>STL-2024-00222</t>
  </si>
  <si>
    <t>STL-2024-00223</t>
  </si>
  <si>
    <t>STL-2024-00226</t>
  </si>
  <si>
    <t>STL-2025-00229</t>
  </si>
  <si>
    <t>STL-2024-00232</t>
  </si>
  <si>
    <t>STL-2025-00234</t>
  </si>
  <si>
    <t>STL-2024-00236</t>
  </si>
  <si>
    <t>STL-2024-00238</t>
  </si>
  <si>
    <t>STL-2025-00241</t>
  </si>
  <si>
    <t>STL-2024-00243</t>
  </si>
  <si>
    <t>STL-2024-00247</t>
  </si>
  <si>
    <t>STL-2025-00252</t>
  </si>
  <si>
    <t>STL-2025-00256</t>
  </si>
  <si>
    <t>STL-2024-00267</t>
  </si>
  <si>
    <t>STL-2025-00274</t>
  </si>
  <si>
    <t>STL-2024-00280</t>
  </si>
  <si>
    <t>STL-2024-00282</t>
  </si>
  <si>
    <t>STL-2025-00285</t>
  </si>
  <si>
    <t>STL-2024-00289</t>
  </si>
  <si>
    <t>STL-2025-00291</t>
  </si>
  <si>
    <t>STL-2024-00294</t>
  </si>
  <si>
    <t>STL-2025-00299</t>
  </si>
  <si>
    <t>STL-2025-00304</t>
  </si>
  <si>
    <t>STL-2025-00313</t>
  </si>
  <si>
    <t>STL-2024-00326</t>
  </si>
  <si>
    <t>STL-2024-00328</t>
  </si>
  <si>
    <t>STL-2024-00331</t>
  </si>
  <si>
    <t>STL-2025-00339</t>
  </si>
  <si>
    <t>STL-2025-00343</t>
  </si>
  <si>
    <t>STL-2025-00345</t>
  </si>
  <si>
    <t>STL-2024-00346</t>
  </si>
  <si>
    <t>STL-2024-00353</t>
  </si>
  <si>
    <t>STL-2024-00356</t>
  </si>
  <si>
    <t>STL-2025-00360</t>
  </si>
  <si>
    <t>STL-2025-00361</t>
  </si>
  <si>
    <t>STL-2025-00362</t>
  </si>
  <si>
    <t>STL-2024-00364</t>
  </si>
  <si>
    <t>STL-2024-00366</t>
  </si>
  <si>
    <t>STL-2024-00369</t>
  </si>
  <si>
    <t>STL-2025-00375</t>
  </si>
  <si>
    <t>STL-2025-00377</t>
  </si>
  <si>
    <t>STL-2025-00378</t>
  </si>
  <si>
    <t>STL-2025-00383</t>
  </si>
  <si>
    <t>STL-2025-00386</t>
  </si>
  <si>
    <t>STL-2024-00387</t>
  </si>
  <si>
    <t>STL-2024-00390</t>
  </si>
  <si>
    <t>STL-2024-00393</t>
  </si>
  <si>
    <t>STL-2024-00394</t>
  </si>
  <si>
    <t>STL-2024-00398</t>
  </si>
  <si>
    <t>STL-2024-00400</t>
  </si>
  <si>
    <t>STL-2025-00406</t>
  </si>
  <si>
    <t>STL-2025-00408</t>
  </si>
  <si>
    <t>STL-2024-00410</t>
  </si>
  <si>
    <t>STL-2024-00411</t>
  </si>
  <si>
    <t>STL-2024-00412</t>
  </si>
  <si>
    <t>STL-2024-00417</t>
  </si>
  <si>
    <t>STL-2024-00425</t>
  </si>
  <si>
    <t>STL-2024-00426</t>
  </si>
  <si>
    <t>STL-2025-00428</t>
  </si>
  <si>
    <t>STL-2024-00429</t>
  </si>
  <si>
    <t>STL-2025-00430</t>
  </si>
  <si>
    <t>STL-2025-00431</t>
  </si>
  <si>
    <t>STL-2025-00434</t>
  </si>
  <si>
    <t>STL-2025-00435</t>
  </si>
  <si>
    <t>STL-2024-00438</t>
  </si>
  <si>
    <t>STL-2024-00442</t>
  </si>
  <si>
    <t>STL-2024-00443</t>
  </si>
  <si>
    <t>STL-2025-00447</t>
  </si>
  <si>
    <t>STL-2025-00449</t>
  </si>
  <si>
    <t>STL-2024-00452</t>
  </si>
  <si>
    <t>STL-2025-00457</t>
  </si>
  <si>
    <t>STL-2024-00459</t>
  </si>
  <si>
    <t>STL-2025-00462</t>
  </si>
  <si>
    <t>STL-2025-00465</t>
  </si>
  <si>
    <t>STL-2024-00470</t>
  </si>
  <si>
    <t>STL-2024-00476</t>
  </si>
  <si>
    <t>STL-2024-00477</t>
  </si>
  <si>
    <t>STL-2025-00481</t>
  </si>
  <si>
    <t>STL-2024-00483</t>
  </si>
  <si>
    <t>STL-2024-00492</t>
  </si>
  <si>
    <t>STL-2024-00493</t>
  </si>
  <si>
    <t>STL-2025-00501</t>
  </si>
  <si>
    <t>STL-2024-00507</t>
  </si>
  <si>
    <t>STL-2025-00517</t>
  </si>
  <si>
    <t>STL-2025-00518</t>
  </si>
  <si>
    <t>STL-2025-00525</t>
  </si>
  <si>
    <t>STL-2025-00527</t>
  </si>
  <si>
    <t>STL-2025-00530</t>
  </si>
  <si>
    <t>STL-2025-00531</t>
  </si>
  <si>
    <t>STL-2025-00532</t>
  </si>
  <si>
    <t>STL-2024-00534</t>
  </si>
  <si>
    <t>STL-2025-00536</t>
  </si>
  <si>
    <t>STL-2025-00537</t>
  </si>
  <si>
    <t>STL-2024-00538</t>
  </si>
  <si>
    <t>STL-2025-00541</t>
  </si>
  <si>
    <t>STL-2024-00542</t>
  </si>
  <si>
    <t>STL-2025-00543</t>
  </si>
  <si>
    <t>STL-2025-00546</t>
  </si>
  <si>
    <t>STL-2025-00549</t>
  </si>
  <si>
    <t>STL-2025-00550</t>
  </si>
  <si>
    <t>STL-2024-00555</t>
  </si>
  <si>
    <t>STL-2024-00556</t>
  </si>
  <si>
    <t>STL-2025-00563</t>
  </si>
  <si>
    <t>STL-2024-00564</t>
  </si>
  <si>
    <t>STL-2025-00566</t>
  </si>
  <si>
    <t>STL-2024-00576</t>
  </si>
  <si>
    <t>STL-2025-00583</t>
  </si>
  <si>
    <t>STL-2025-00586</t>
  </si>
  <si>
    <t>STL-2025-00588</t>
  </si>
  <si>
    <t>STL-2024-00592</t>
  </si>
  <si>
    <t>STL-2024-00596</t>
  </si>
  <si>
    <t>STL-2024-00601</t>
  </si>
  <si>
    <t>STL-2024-00603</t>
  </si>
  <si>
    <t>STL-2024-00604</t>
  </si>
  <si>
    <t>STL-2024-00617</t>
  </si>
  <si>
    <t>STL-2025-00621</t>
  </si>
  <si>
    <t>STL-2024-00623</t>
  </si>
  <si>
    <t>STL-2025-00625</t>
  </si>
  <si>
    <t>STL-2025-00627</t>
  </si>
  <si>
    <t>STL-2024-00628</t>
  </si>
  <si>
    <t>STL-2025-00630</t>
  </si>
  <si>
    <t>STL-2025-00631</t>
  </si>
  <si>
    <t>STL-2025-00634</t>
  </si>
  <si>
    <t>STL-2024-00636</t>
  </si>
  <si>
    <t>STL-2024-00640</t>
  </si>
  <si>
    <t>STL-2025-00646</t>
  </si>
  <si>
    <t>STL-2024-00647</t>
  </si>
  <si>
    <t>STL-2024-00648</t>
  </si>
  <si>
    <t>STL-2024-00650</t>
  </si>
  <si>
    <t>STL-2025-00651</t>
  </si>
  <si>
    <t>STL-2024-00653</t>
  </si>
  <si>
    <t>STL-2025-00660</t>
  </si>
  <si>
    <t>STL-2024-00663</t>
  </si>
  <si>
    <t>STL-2024-00666</t>
  </si>
  <si>
    <t>STL-2025-00670</t>
  </si>
  <si>
    <t>STL-2025-00671</t>
  </si>
  <si>
    <t>STL-2025-00676</t>
  </si>
  <si>
    <t>STL-2025-00686</t>
  </si>
  <si>
    <t>STL-2024-00692</t>
  </si>
  <si>
    <t>STL-2025-00695</t>
  </si>
  <si>
    <t>STL-2025-00706</t>
  </si>
  <si>
    <t>STL-2025-00709</t>
  </si>
  <si>
    <t>STL-2025-00711</t>
  </si>
  <si>
    <t>STL-2025-00712</t>
  </si>
  <si>
    <t>STL-2025-00715</t>
  </si>
  <si>
    <t>STL-2025-00716</t>
  </si>
  <si>
    <t>STL-2024-00718</t>
  </si>
  <si>
    <t>STL-2024-00720</t>
  </si>
  <si>
    <t>STL-2025-00721</t>
  </si>
  <si>
    <t>STL-2025-00722</t>
  </si>
  <si>
    <t>STL-2025-00723</t>
  </si>
  <si>
    <t>STL-2025-00731</t>
  </si>
  <si>
    <t>STL-2025-00732</t>
  </si>
  <si>
    <t>STL-2024-00734</t>
  </si>
  <si>
    <t>STL-2025-00741</t>
  </si>
  <si>
    <t>STL-2025-00742</t>
  </si>
  <si>
    <t>STL-2024-00744</t>
  </si>
  <si>
    <t>STL-2024-00746</t>
  </si>
  <si>
    <t>STL-2024-00749</t>
  </si>
  <si>
    <t>STL-2025-00752</t>
  </si>
  <si>
    <t>STL-2025-00756</t>
  </si>
  <si>
    <t>STL-2025-00757</t>
  </si>
  <si>
    <t>STL-2024-00761</t>
  </si>
  <si>
    <t>STL-2024-00768</t>
  </si>
  <si>
    <t>STL-2024-00774</t>
  </si>
  <si>
    <t>STL-2025-00779</t>
  </si>
  <si>
    <t>STL-2024-00780</t>
  </si>
  <si>
    <t>STL-2024-00782</t>
  </si>
  <si>
    <t>STL-2024-00786</t>
  </si>
  <si>
    <t>STL-2024-00788</t>
  </si>
  <si>
    <t>STL-2025-00789</t>
  </si>
  <si>
    <t>STL-2024-00794</t>
  </si>
  <si>
    <t>STL-2024-00795</t>
  </si>
  <si>
    <t>STL-2025-00797</t>
  </si>
  <si>
    <t>STL-2025-00798</t>
  </si>
  <si>
    <t>STL-2024-00799</t>
  </si>
  <si>
    <t>STL-2025-00800</t>
  </si>
  <si>
    <t>STL-2025-00806</t>
  </si>
  <si>
    <t>STL-2025-00808</t>
  </si>
  <si>
    <t>STL-2025-00810</t>
  </si>
  <si>
    <t>STL-2025-00815</t>
  </si>
  <si>
    <t>STL-2024-00823</t>
  </si>
  <si>
    <t>STL-2024-00824</t>
  </si>
  <si>
    <t>STL-2025-00826</t>
  </si>
  <si>
    <t>STL-2024-00827</t>
  </si>
  <si>
    <t>STL-2024-00828</t>
  </si>
  <si>
    <t>STL-2025-00830</t>
  </si>
  <si>
    <t>STL-2025-00831</t>
  </si>
  <si>
    <t>STL-2025-00835</t>
  </si>
  <si>
    <t>STL-2024-00836</t>
  </si>
  <si>
    <t>STL-2024-00838</t>
  </si>
  <si>
    <t>STL-2024-00839</t>
  </si>
  <si>
    <t>STL-2025-00841</t>
  </si>
  <si>
    <t>STL-2025-00843</t>
  </si>
  <si>
    <t>STL-2025-00847</t>
  </si>
  <si>
    <t>STL-2024-00852</t>
  </si>
  <si>
    <t>STL-2024-00854</t>
  </si>
  <si>
    <t>STL-2025-00855</t>
  </si>
  <si>
    <t>STL-2025-00861</t>
  </si>
  <si>
    <t>STL-2025-00874</t>
  </si>
  <si>
    <t>STL-2024-00876</t>
  </si>
  <si>
    <t>STL-2025-00878</t>
  </si>
  <si>
    <t>STL-2025-00880</t>
  </si>
  <si>
    <t>STL-2025-00881</t>
  </si>
  <si>
    <t>STL-2024-00885</t>
  </si>
  <si>
    <t>STL-2024-00886</t>
  </si>
  <si>
    <t>STL-2024-00888</t>
  </si>
  <si>
    <t>STL-2025-00891</t>
  </si>
  <si>
    <t>STL-2025-00893</t>
  </si>
  <si>
    <t>STL-2024-00894</t>
  </si>
  <si>
    <t>STL-2024-00896</t>
  </si>
  <si>
    <t>STL-2024-00899</t>
  </si>
  <si>
    <t>STL-2025-00906</t>
  </si>
  <si>
    <t>STL-2024-00907</t>
  </si>
  <si>
    <t>STL-2024-00915</t>
  </si>
  <si>
    <t>STL-2025-00918</t>
  </si>
  <si>
    <t>STL-2024-00924</t>
  </si>
  <si>
    <t>STL-2025-00926</t>
  </si>
  <si>
    <t>STL-2025-00929</t>
  </si>
  <si>
    <t>STL-2024-00930</t>
  </si>
  <si>
    <t>STL-2024-00931</t>
  </si>
  <si>
    <t>STL-2025-00937</t>
  </si>
  <si>
    <t>STL-2024-00938</t>
  </si>
  <si>
    <t>STL-2025-00946</t>
  </si>
  <si>
    <t>STL-2025-00949</t>
  </si>
  <si>
    <t>STL-2025-00953</t>
  </si>
  <si>
    <t>STL-2025-00961</t>
  </si>
  <si>
    <t>STL-2025-00966</t>
  </si>
  <si>
    <t>STL-2025-00969</t>
  </si>
  <si>
    <t>STL-2024-00972</t>
  </si>
  <si>
    <t>STL-2024-00974</t>
  </si>
  <si>
    <t>STL-2024-00976</t>
  </si>
  <si>
    <t>STL-2025-00979</t>
  </si>
  <si>
    <t>STL-2025-00980</t>
  </si>
  <si>
    <t>STL-2024-00983</t>
  </si>
  <si>
    <t>STL-2024-00986</t>
  </si>
  <si>
    <t>STL-2025-00988</t>
  </si>
  <si>
    <t>STL-2024-00990</t>
  </si>
  <si>
    <t>STL-2025-00993</t>
  </si>
  <si>
    <t>STL-2024-00997</t>
  </si>
  <si>
    <t>STL-2025-00999</t>
  </si>
  <si>
    <t>STL-2024-01009</t>
  </si>
  <si>
    <t>STL-2024-01011</t>
  </si>
  <si>
    <t>STL-2025-01012</t>
  </si>
  <si>
    <t>STL-2024-01013</t>
  </si>
  <si>
    <t>STL-2024-01015</t>
  </si>
  <si>
    <t>STL-2024-01019</t>
  </si>
  <si>
    <t>STL-2024-01022</t>
  </si>
  <si>
    <t>STL-2024-01024</t>
  </si>
  <si>
    <t>STL-2024-01025</t>
  </si>
  <si>
    <t>STL-2024-01026</t>
  </si>
  <si>
    <t>STL-2024-01033</t>
  </si>
  <si>
    <t>STL-2025-01037</t>
  </si>
  <si>
    <t>STL-2025-01038</t>
  </si>
  <si>
    <t>STL-2024-01039</t>
  </si>
  <si>
    <t>STL-2024-01040</t>
  </si>
  <si>
    <t>STL-2025-01041</t>
  </si>
  <si>
    <t>STL-2025-01042</t>
  </si>
  <si>
    <t>STL-2025-01043</t>
  </si>
  <si>
    <t>STL-2024-01044</t>
  </si>
  <si>
    <t>STL-2025-01046</t>
  </si>
  <si>
    <t>STL-2024-01049</t>
  </si>
  <si>
    <t>STL-2024-01054</t>
  </si>
  <si>
    <t>STL-2025-01064</t>
  </si>
  <si>
    <t>STL-2024-01067</t>
  </si>
  <si>
    <t>STL-2024-01070</t>
  </si>
  <si>
    <t>STL-2025-01071</t>
  </si>
  <si>
    <t>STL-2024-01074</t>
  </si>
  <si>
    <t>STL-2025-01075</t>
  </si>
  <si>
    <t>STL-2025-01078</t>
  </si>
  <si>
    <t>STL-2025-01082</t>
  </si>
  <si>
    <t>STL-2025-01084</t>
  </si>
  <si>
    <t>STL-2025-01087</t>
  </si>
  <si>
    <t>STL-2024-01092</t>
  </si>
  <si>
    <t>STL-2024-01093</t>
  </si>
  <si>
    <t>STL-2025-01103</t>
  </si>
  <si>
    <t>STL-2024-01104</t>
  </si>
  <si>
    <t>STL-2024-01108</t>
  </si>
  <si>
    <t>STL-2024-01117</t>
  </si>
  <si>
    <t>STL-2024-01119</t>
  </si>
  <si>
    <t>STL-2025-01120</t>
  </si>
  <si>
    <t>STL-2024-01121</t>
  </si>
  <si>
    <t>STL-2025-01127</t>
  </si>
  <si>
    <t>STL-2025-01128</t>
  </si>
  <si>
    <t>STL-2024-01133</t>
  </si>
  <si>
    <t>STL-2024-01137</t>
  </si>
  <si>
    <t>STL-2025-01143</t>
  </si>
  <si>
    <t>STL-2025-01145</t>
  </si>
  <si>
    <t>STL-2024-01146</t>
  </si>
  <si>
    <t>STL-2025-01147</t>
  </si>
  <si>
    <t>STL-2025-01152</t>
  </si>
  <si>
    <t>STL-2025-01153</t>
  </si>
  <si>
    <t>STL-2025-01155</t>
  </si>
  <si>
    <t>STL-2025-01158</t>
  </si>
  <si>
    <t>STL-2025-01161</t>
  </si>
  <si>
    <t>STL-2024-01163</t>
  </si>
  <si>
    <t>STL-2024-01164</t>
  </si>
  <si>
    <t>STL-2025-01165</t>
  </si>
  <si>
    <t>STL-2025-01169</t>
  </si>
  <si>
    <t>STL-2025-01170</t>
  </si>
  <si>
    <t>STL-2024-01178</t>
  </si>
  <si>
    <t>STL-2025-01180</t>
  </si>
  <si>
    <t>STL-2025-01191</t>
  </si>
  <si>
    <t>STL-2024-01192</t>
  </si>
  <si>
    <t>STL-2024-01193</t>
  </si>
  <si>
    <t>STL-2024-01201</t>
  </si>
  <si>
    <t>STL-2025-01202</t>
  </si>
  <si>
    <t>STL-2024-01205</t>
  </si>
  <si>
    <t>STL-2024-01209</t>
  </si>
  <si>
    <t>STL-2025-01210</t>
  </si>
  <si>
    <t>STL-2024-01219</t>
  </si>
  <si>
    <t>STL-2025-01220</t>
  </si>
  <si>
    <t>STL-2024-01222</t>
  </si>
  <si>
    <t>STL-2025-01224</t>
  </si>
  <si>
    <t>STL-2025-01231</t>
  </si>
  <si>
    <t>STL-2025-01234</t>
  </si>
  <si>
    <t>STL-2025-01236</t>
  </si>
  <si>
    <t>STL-2024-01241</t>
  </si>
  <si>
    <t>STL-2024-01242</t>
  </si>
  <si>
    <t>STL-2024-01243</t>
  </si>
  <si>
    <t>STL-2025-01252</t>
  </si>
  <si>
    <t>STL-2025-01254</t>
  </si>
  <si>
    <t>STL-2025-01258</t>
  </si>
  <si>
    <t>STL-2024-01260</t>
  </si>
  <si>
    <t>STL-2024-01263</t>
  </si>
  <si>
    <t>STL-2025-01269</t>
  </si>
  <si>
    <t>STL-2025-01270</t>
  </si>
  <si>
    <t>STL-2025-01271</t>
  </si>
  <si>
    <t>STL-2024-01272</t>
  </si>
  <si>
    <t>STL-2024-01274</t>
  </si>
  <si>
    <t>STL-2025-01280</t>
  </si>
  <si>
    <t>STL-2024-01288</t>
  </si>
  <si>
    <t>STL-2024-01292</t>
  </si>
  <si>
    <t>STL-2025-01293</t>
  </si>
  <si>
    <t>STL-2025-01302</t>
  </si>
  <si>
    <t>STL-2024-01307</t>
  </si>
  <si>
    <t>STL-2025-01331</t>
  </si>
  <si>
    <t>STL-2025-01332</t>
  </si>
  <si>
    <t>STL-2025-01337</t>
  </si>
  <si>
    <t>STL-2025-01341</t>
  </si>
  <si>
    <t>STL-2025-01342</t>
  </si>
  <si>
    <t>STL-2024-01345</t>
  </si>
  <si>
    <t>STL-2024-01346</t>
  </si>
  <si>
    <t>STL-2024-01351</t>
  </si>
  <si>
    <t>STL-2025-01352</t>
  </si>
  <si>
    <t>STL-2024-01353</t>
  </si>
  <si>
    <t>STL-2024-01356</t>
  </si>
  <si>
    <t>STL-2024-01357</t>
  </si>
  <si>
    <t>STL-2024-01359</t>
  </si>
  <si>
    <t>STL-2025-01361</t>
  </si>
  <si>
    <t>STL-2025-01362</t>
  </si>
  <si>
    <t>STL-2025-01363</t>
  </si>
  <si>
    <t>STL-2025-01365</t>
  </si>
  <si>
    <t>STL-2025-01369</t>
  </si>
  <si>
    <t>STL-2025-01370</t>
  </si>
  <si>
    <t>STL-2024-01371</t>
  </si>
  <si>
    <t>STL-2024-01381</t>
  </si>
  <si>
    <t>STL-2024-01382</t>
  </si>
  <si>
    <t>STL-2024-01384</t>
  </si>
  <si>
    <t>STL-2024-01389</t>
  </si>
  <si>
    <t>STL-2025-01391</t>
  </si>
  <si>
    <t>STL-2024-01392</t>
  </si>
  <si>
    <t>STL-2025-01395</t>
  </si>
  <si>
    <t>STL-2025-01396</t>
  </si>
  <si>
    <t>STL-2025-01398</t>
  </si>
  <si>
    <t>STL-2025-01402</t>
  </si>
  <si>
    <t>STL-2024-01403</t>
  </si>
  <si>
    <t>STL-2024-01405</t>
  </si>
  <si>
    <t>STL-2024-01409</t>
  </si>
  <si>
    <t>STL-2024-01416</t>
  </si>
  <si>
    <t>STL-2025-01418</t>
  </si>
  <si>
    <t>STL-2025-01420</t>
  </si>
  <si>
    <t>STL-2025-01426</t>
  </si>
  <si>
    <t>STL-2024-01442</t>
  </si>
  <si>
    <t>STL-2024-01449</t>
  </si>
  <si>
    <t>STL-2025-01452</t>
  </si>
  <si>
    <t>STL-2025-01453</t>
  </si>
  <si>
    <t>STL-2024-01455</t>
  </si>
  <si>
    <t>STL-2024-01460</t>
  </si>
  <si>
    <t>STL-2024-01461</t>
  </si>
  <si>
    <t>STL-2025-01462</t>
  </si>
  <si>
    <t>STL-2024-01463</t>
  </si>
  <si>
    <t>STL-2024-01465</t>
  </si>
  <si>
    <t>STL-2024-01466</t>
  </si>
  <si>
    <t>STL-2025-01468</t>
  </si>
  <si>
    <t>STL-2025-01472</t>
  </si>
  <si>
    <t>STL-2024-01473</t>
  </si>
  <si>
    <t>STL-2024-01474</t>
  </si>
  <si>
    <t>STL-2025-01475</t>
  </si>
  <si>
    <t>STL-2025-01485</t>
  </si>
  <si>
    <t>STL-2025-01486</t>
  </si>
  <si>
    <t>STL-2024-01487</t>
  </si>
  <si>
    <t>STL-2024-01488</t>
  </si>
  <si>
    <t>STL-2025-01489</t>
  </si>
  <si>
    <t>STL-2025-01492</t>
  </si>
  <si>
    <t>STL-2024-01495</t>
  </si>
  <si>
    <t>STL-2025-01496</t>
  </si>
  <si>
    <t>Source</t>
  </si>
  <si>
    <t>URL</t>
  </si>
  <si>
    <t>Used For</t>
  </si>
  <si>
    <t>Important Note</t>
  </si>
  <si>
    <t>World Steel Association data page</t>
  </si>
  <si>
    <t>https://worldsteel.org/data/</t>
  </si>
  <si>
    <t>General steel production/trade/use context and steel use categories</t>
  </si>
  <si>
    <t>The site points to monthly crude steel production data and annual steel data, not open transaction-level customer sales rows.</t>
  </si>
  <si>
    <t>U.S. Census Sales, Receipts, Shipments, or Production Data</t>
  </si>
  <si>
    <t>https://www.census.gov/topics/business-economy/production/data.html</t>
  </si>
  <si>
    <t>Public government source context for sales/shipments/production datasets</t>
  </si>
  <si>
    <t>Census notes that data tables may be downloadable in XLS, CSV and PDF formats.</t>
  </si>
  <si>
    <t>SEC Form 20-F filing</t>
  </si>
  <si>
    <t>https://www.sec.gov/Archives/edgar/data/1049659/000129281404000060/sid_20f.htm</t>
  </si>
  <si>
    <t>Product and market split examples: slabs, hot-rolled, cold-rolled, galvanized, tin mill; domestic and export market language</t>
  </si>
  <si>
    <t>Aggregated company filing data; not transaction-level row data.</t>
  </si>
  <si>
    <t>U.S. Steel Q3 2022 segment financial/operational data</t>
  </si>
  <si>
    <t>https://www.ussteel.com/documents/40705/12208437/U.-S.-Steel-Q3-2022-Segment-Financial-Operational-Data.pdf/62c93d1b-8cc0-1106-a832-67a3e1fe72ea?t=1750666383548</t>
  </si>
  <si>
    <t>Sales calculation logic using shipments multiplied by average realized price per ton</t>
  </si>
  <si>
    <t>Public PDF states calculated sales are based on shipments times realized price per ton.</t>
  </si>
  <si>
    <t>Chung Hung Steel 2021 annual report</t>
  </si>
  <si>
    <t>https://www.chsteel.com.tw/en/cg/pdf/110Report.pdf</t>
  </si>
  <si>
    <t>Product family examples and 2021/2020 domestic/export volume/value structure</t>
  </si>
  <si>
    <t>Aggregated annual report figures include hot-rolled, cold-rolled, steel pipe, and galvanized products.</t>
  </si>
  <si>
    <t>Workbook data note</t>
  </si>
  <si>
    <t>N/A</t>
  </si>
  <si>
    <t>Rows in Sales_Data</t>
  </si>
  <si>
    <t>The 1,500 sales records are synthetic sample records for analysis/training, shaped by the public sources above. They are not scraped customer orders.</t>
  </si>
  <si>
    <t>Total Revenue</t>
  </si>
  <si>
    <t>Total Quantity Sold</t>
  </si>
  <si>
    <t>Average Margin</t>
  </si>
  <si>
    <t>Number of Customer Segments</t>
  </si>
  <si>
    <t>Revenue by Product Family</t>
  </si>
  <si>
    <t>Revenue by Region</t>
  </si>
  <si>
    <t>Revenue by Month</t>
  </si>
  <si>
    <t>Quantity by Product</t>
  </si>
  <si>
    <t>Gross Margin by Customer Segment</t>
  </si>
  <si>
    <t>Grand Total</t>
  </si>
  <si>
    <t>Sum of Net Sales USD</t>
  </si>
  <si>
    <t>Sum of Quantity tons</t>
  </si>
  <si>
    <t>Average of Gross Margin USD</t>
  </si>
  <si>
    <t>Plate Total</t>
  </si>
  <si>
    <t>Rebar Total</t>
  </si>
  <si>
    <t>Steel pipe Total</t>
  </si>
  <si>
    <t>Tubular OCTG Total</t>
  </si>
  <si>
    <t>Years (Order Date)</t>
  </si>
  <si>
    <t>Quarters (Order Date)</t>
  </si>
  <si>
    <t>Months (Order Date)</t>
  </si>
  <si>
    <t>2024</t>
  </si>
  <si>
    <t>2025</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</si>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</sst>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0%"/>
    <numFmt numFmtId="169" formatCode="&quot;$&quot;#,##0.00"/>
  </numFmts>
  <fonts count="4">
    <font>
      <sz val="11"/>
      <name val="Carlito"/>
    </font>
    <font>
      <b/>
      <sz val="11"/>
      <color rgb="FFFFFFFF"/>
      <name val="Carlito"/>
    </font>
    <font>
      <b/>
      <sz val="11"/>
      <name val="Carlito"/>
    </font>
    <font>
      <b/>
      <sz val="14"/>
      <name val="Carlito"/>
    </font>
  </fonts>
  <fills count="4">
    <fill>
      <patternFill patternType="none"/>
    </fill>
    <fill>
      <patternFill patternType="gray125"/>
    </fill>
    <fill>
      <patternFill patternType="solid">
        <fgColor rgb="FF244C5A"/>
      </patternFill>
    </fill>
    <fill>
      <patternFill patternType="solid">
        <fgColor rgb="FFD9EAF7"/>
        <bgColor indexed="64"/>
      </patternFill>
    </fill>
  </fills>
  <borders count="2">
    <border>
      <left/>
      <right/>
      <top/>
      <bottom/>
      <diagonal/>
    </border>
    <border>
      <left style="thin">
        <color rgb="FFD9E2E7"/>
      </left>
      <right style="thin">
        <color rgb="FFD9E2E7"/>
      </right>
      <top style="thin">
        <color rgb="FFD9E2E7"/>
      </top>
      <bottom style="thin">
        <color rgb="FFD9E2E7"/>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0" fillId="0" borderId="1" xfId="0" applyBorder="1"/>
    <xf numFmtId="164" fontId="0" fillId="0" borderId="1" xfId="0" applyNumberFormat="1" applyBorder="1"/>
    <xf numFmtId="4" fontId="0" fillId="0" borderId="1" xfId="0" applyNumberFormat="1" applyBorder="1"/>
    <xf numFmtId="165" fontId="0" fillId="0" borderId="1" xfId="0" applyNumberFormat="1" applyBorder="1"/>
    <xf numFmtId="166" fontId="0" fillId="0" borderId="1" xfId="0" applyNumberFormat="1" applyBorder="1"/>
    <xf numFmtId="0" fontId="0" fillId="0" borderId="1" xfId="0" applyBorder="1" applyAlignment="1">
      <alignment wrapText="1"/>
    </xf>
    <xf numFmtId="165" fontId="0" fillId="0" borderId="0" xfId="0" applyNumberFormat="1"/>
    <xf numFmtId="4" fontId="0" fillId="0" borderId="0" xfId="0" applyNumberFormat="1"/>
    <xf numFmtId="0" fontId="2" fillId="0" borderId="0" xfId="0" applyFont="1"/>
    <xf numFmtId="10" fontId="0" fillId="0" borderId="0" xfId="0" applyNumberFormat="1"/>
    <xf numFmtId="1" fontId="0" fillId="0" borderId="0" xfId="0" applyNumberFormat="1"/>
    <xf numFmtId="0" fontId="3" fillId="0" borderId="0" xfId="0" applyFont="1"/>
    <xf numFmtId="0" fontId="3" fillId="3" borderId="0" xfId="0" applyFont="1" applyFill="1"/>
    <xf numFmtId="0" fontId="0" fillId="0" borderId="0" xfId="0" pivotButton="1"/>
    <xf numFmtId="169" fontId="0" fillId="0" borderId="0" xfId="0" applyNumberFormat="1"/>
  </cellXfs>
  <cellStyles count="1">
    <cellStyle name="Normal" xfId="0" builtinId="0"/>
  </cellStyles>
  <dxfs count="11">
    <dxf>
      <font>
        <b/>
        <i val="0"/>
        <strike val="0"/>
        <condense val="0"/>
        <extend val="0"/>
        <outline val="0"/>
        <shadow val="0"/>
        <u val="none"/>
        <vertAlign val="baseline"/>
        <sz val="11"/>
        <color auto="1"/>
        <name val="Carlito"/>
        <scheme val="none"/>
      </font>
    </dxf>
    <dxf>
      <numFmt numFmtId="1" formatCode="0"/>
    </dxf>
    <dxf>
      <font>
        <b/>
        <i val="0"/>
        <strike val="0"/>
        <condense val="0"/>
        <extend val="0"/>
        <outline val="0"/>
        <shadow val="0"/>
        <u val="none"/>
        <vertAlign val="baseline"/>
        <sz val="11"/>
        <color auto="1"/>
        <name val="Carlito"/>
        <scheme val="none"/>
      </font>
    </dxf>
    <dxf>
      <numFmt numFmtId="14" formatCode="0.00%"/>
    </dxf>
    <dxf>
      <numFmt numFmtId="4" formatCode="#,##0.00"/>
    </dxf>
    <dxf>
      <numFmt numFmtId="165" formatCode="\$#,##0.00"/>
    </dxf>
    <dxf>
      <numFmt numFmtId="169" formatCode="&quot;$&quot;#,##0.00"/>
    </dxf>
    <dxf>
      <numFmt numFmtId="4" formatCode="#,##0.00"/>
    </dxf>
    <dxf>
      <numFmt numFmtId="169" formatCode="&quot;$&quot;#,##0.00"/>
    </dxf>
    <dxf>
      <numFmt numFmtId="169" formatCode="&quot;$&quot;#,##0.00"/>
    </dxf>
    <dxf>
      <numFmt numFmtId="169"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[steel_products_sales_sample.xlsx]Pivot - Region!RevenueByRegion</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Region'!$B$3</c:f>
              <c:strCache>
                <c:ptCount val="1"/>
                <c:pt idx="0">
                  <c:v>Total</c:v>
                </c:pt>
              </c:strCache>
            </c:strRef>
          </c:tx>
          <c:spPr>
            <a:solidFill>
              <a:schemeClr val="accent1"/>
            </a:solidFill>
            <a:ln>
              <a:noFill/>
            </a:ln>
            <a:effectLst/>
          </c:spPr>
          <c:invertIfNegative val="0"/>
          <c:cat>
            <c:strRef>
              <c:f>'Pivot - Region'!$A$4:$A$11</c:f>
              <c:strCache>
                <c:ptCount val="7"/>
                <c:pt idx="0">
                  <c:v>Africa</c:v>
                </c:pt>
                <c:pt idx="1">
                  <c:v>East Asia</c:v>
                </c:pt>
                <c:pt idx="2">
                  <c:v>Europe</c:v>
                </c:pt>
                <c:pt idx="3">
                  <c:v>Middle East</c:v>
                </c:pt>
                <c:pt idx="4">
                  <c:v>North America</c:v>
                </c:pt>
                <c:pt idx="5">
                  <c:v>South Asia</c:v>
                </c:pt>
                <c:pt idx="6">
                  <c:v>Southeast Asia</c:v>
                </c:pt>
              </c:strCache>
            </c:strRef>
          </c:cat>
          <c:val>
            <c:numRef>
              <c:f>'Pivot - Region'!$B$4:$B$11</c:f>
              <c:numCache>
                <c:formatCode>"$"#,##0.00</c:formatCode>
                <c:ptCount val="7"/>
                <c:pt idx="0">
                  <c:v>8463659.2600000016</c:v>
                </c:pt>
                <c:pt idx="1">
                  <c:v>8927094.1999999993</c:v>
                </c:pt>
                <c:pt idx="2">
                  <c:v>13997071.030000001</c:v>
                </c:pt>
                <c:pt idx="3">
                  <c:v>11586483.790000001</c:v>
                </c:pt>
                <c:pt idx="4">
                  <c:v>9037875.2300000004</c:v>
                </c:pt>
                <c:pt idx="5">
                  <c:v>10800080.359999999</c:v>
                </c:pt>
                <c:pt idx="6">
                  <c:v>11120550.889999997</c:v>
                </c:pt>
              </c:numCache>
            </c:numRef>
          </c:val>
          <c:extLst>
            <c:ext xmlns:c16="http://schemas.microsoft.com/office/drawing/2014/chart" uri="{C3380CC4-5D6E-409C-BE32-E72D297353CC}">
              <c16:uniqueId val="{00000000-C963-4EB3-B420-CF9A89DF11C0}"/>
            </c:ext>
          </c:extLst>
        </c:ser>
        <c:dLbls>
          <c:showLegendKey val="0"/>
          <c:showVal val="0"/>
          <c:showCatName val="0"/>
          <c:showSerName val="0"/>
          <c:showPercent val="0"/>
          <c:showBubbleSize val="0"/>
        </c:dLbls>
        <c:gapWidth val="219"/>
        <c:overlap val="-27"/>
        <c:axId val="1760723168"/>
        <c:axId val="1760724608"/>
      </c:barChart>
      <c:catAx>
        <c:axId val="176072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24608"/>
        <c:crosses val="autoZero"/>
        <c:auto val="1"/>
        <c:lblAlgn val="ctr"/>
        <c:lblOffset val="100"/>
        <c:noMultiLvlLbl val="0"/>
      </c:catAx>
      <c:valAx>
        <c:axId val="1760724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2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[steel_products_sales_sample.xlsx]Pivot - Month!RevenueByMonth</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01793937199857"/>
          <c:y val="0.25393088363954508"/>
          <c:w val="0.62714063867016623"/>
          <c:h val="0.53774387576552929"/>
        </c:manualLayout>
      </c:layout>
      <c:lineChart>
        <c:grouping val="standard"/>
        <c:varyColors val="0"/>
        <c:ser>
          <c:idx val="0"/>
          <c:order val="0"/>
          <c:tx>
            <c:strRef>
              <c:f>'Pivot - Month'!$B$3</c:f>
              <c:strCache>
                <c:ptCount val="1"/>
                <c:pt idx="0">
                  <c:v>Total</c:v>
                </c:pt>
              </c:strCache>
            </c:strRef>
          </c:tx>
          <c:spPr>
            <a:ln w="28575" cap="rnd">
              <a:solidFill>
                <a:schemeClr val="accent1"/>
              </a:solidFill>
              <a:round/>
            </a:ln>
            <a:effectLst/>
          </c:spPr>
          <c:marker>
            <c:symbol val="none"/>
          </c:marker>
          <c:cat>
            <c:strRef>
              <c:f>'Pivot -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 Month'!$B$4:$B$16</c:f>
              <c:numCache>
                <c:formatCode>"$"#,##0.00</c:formatCode>
                <c:ptCount val="12"/>
                <c:pt idx="0">
                  <c:v>5211621.13</c:v>
                </c:pt>
                <c:pt idx="1">
                  <c:v>3996150.4899999998</c:v>
                </c:pt>
                <c:pt idx="2">
                  <c:v>7928055.2900000019</c:v>
                </c:pt>
                <c:pt idx="3">
                  <c:v>6600786.8500000015</c:v>
                </c:pt>
                <c:pt idx="4">
                  <c:v>8505897.5300000012</c:v>
                </c:pt>
                <c:pt idx="5">
                  <c:v>5571099.3299999991</c:v>
                </c:pt>
                <c:pt idx="6">
                  <c:v>4645191.99</c:v>
                </c:pt>
                <c:pt idx="7">
                  <c:v>5939817.5200000005</c:v>
                </c:pt>
                <c:pt idx="8">
                  <c:v>8261289.8499999996</c:v>
                </c:pt>
                <c:pt idx="9">
                  <c:v>7141046.5499999998</c:v>
                </c:pt>
                <c:pt idx="10">
                  <c:v>5809446.2400000012</c:v>
                </c:pt>
                <c:pt idx="11">
                  <c:v>4322411.99</c:v>
                </c:pt>
              </c:numCache>
            </c:numRef>
          </c:val>
          <c:smooth val="0"/>
          <c:extLst>
            <c:ext xmlns:c16="http://schemas.microsoft.com/office/drawing/2014/chart" uri="{C3380CC4-5D6E-409C-BE32-E72D297353CC}">
              <c16:uniqueId val="{00000000-F06E-42E2-BC3E-C6A9A684FA92}"/>
            </c:ext>
          </c:extLst>
        </c:ser>
        <c:dLbls>
          <c:showLegendKey val="0"/>
          <c:showVal val="0"/>
          <c:showCatName val="0"/>
          <c:showSerName val="0"/>
          <c:showPercent val="0"/>
          <c:showBubbleSize val="0"/>
        </c:dLbls>
        <c:smooth val="0"/>
        <c:axId val="1760743328"/>
        <c:axId val="1760745248"/>
      </c:lineChart>
      <c:catAx>
        <c:axId val="176074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5248"/>
        <c:crosses val="autoZero"/>
        <c:auto val="1"/>
        <c:lblAlgn val="ctr"/>
        <c:lblOffset val="100"/>
        <c:noMultiLvlLbl val="0"/>
      </c:catAx>
      <c:valAx>
        <c:axId val="1760745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22860</xdr:colOff>
      <xdr:row>1</xdr:row>
      <xdr:rowOff>7620</xdr:rowOff>
    </xdr:from>
    <xdr:to>
      <xdr:col>2</xdr:col>
      <xdr:colOff>510540</xdr:colOff>
      <xdr:row>15</xdr:row>
      <xdr:rowOff>20955</xdr:rowOff>
    </xdr:to>
    <mc:AlternateContent xmlns:mc="http://schemas.openxmlformats.org/markup-compatibility/2006">
      <mc:Choice xmlns:sle15="http://schemas.microsoft.com/office/drawing/2012/slicer" Requires="sle15">
        <xdr:graphicFrame macro="">
          <xdr:nvGraphicFramePr>
            <xdr:cNvPr id="2" name="Year">
              <a:extLst>
                <a:ext uri="{FF2B5EF4-FFF2-40B4-BE49-F238E27FC236}">
                  <a16:creationId xmlns:a16="http://schemas.microsoft.com/office/drawing/2014/main" id="{DF2B79A3-3EFD-43BC-992C-797B4BD2BF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860" y="182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0</xdr:colOff>
      <xdr:row>1</xdr:row>
      <xdr:rowOff>0</xdr:rowOff>
    </xdr:from>
    <xdr:to>
      <xdr:col>5</xdr:col>
      <xdr:colOff>487680</xdr:colOff>
      <xdr:row>15</xdr:row>
      <xdr:rowOff>13335</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0E2DC849-AEC3-4004-ACFC-03F142E1EA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1168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0</xdr:colOff>
      <xdr:row>1</xdr:row>
      <xdr:rowOff>0</xdr:rowOff>
    </xdr:from>
    <xdr:to>
      <xdr:col>8</xdr:col>
      <xdr:colOff>487680</xdr:colOff>
      <xdr:row>15</xdr:row>
      <xdr:rowOff>13335</xdr:rowOff>
    </xdr:to>
    <mc:AlternateContent xmlns:mc="http://schemas.openxmlformats.org/markup-compatibility/2006">
      <mc:Choice xmlns:sle15="http://schemas.microsoft.com/office/drawing/2012/slicer" Requires="sle15">
        <xdr:graphicFrame macro="">
          <xdr:nvGraphicFramePr>
            <xdr:cNvPr id="4" name="Customer Segment">
              <a:extLst>
                <a:ext uri="{FF2B5EF4-FFF2-40B4-BE49-F238E27FC236}">
                  <a16:creationId xmlns:a16="http://schemas.microsoft.com/office/drawing/2014/main" id="{E0F5C545-9C5B-4ED3-AEED-EBF03FC2FE2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402336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0</xdr:colOff>
      <xdr:row>1</xdr:row>
      <xdr:rowOff>0</xdr:rowOff>
    </xdr:from>
    <xdr:to>
      <xdr:col>11</xdr:col>
      <xdr:colOff>487680</xdr:colOff>
      <xdr:row>15</xdr:row>
      <xdr:rowOff>13335</xdr:rowOff>
    </xdr:to>
    <mc:AlternateContent xmlns:mc="http://schemas.openxmlformats.org/markup-compatibility/2006">
      <mc:Choice xmlns:sle15="http://schemas.microsoft.com/office/drawing/2012/slicer" Requires="sle15">
        <xdr:graphicFrame macro="">
          <xdr:nvGraphicFramePr>
            <xdr:cNvPr id="5" name="Product Family">
              <a:extLst>
                <a:ext uri="{FF2B5EF4-FFF2-40B4-BE49-F238E27FC236}">
                  <a16:creationId xmlns:a16="http://schemas.microsoft.com/office/drawing/2014/main" id="{AFE03F22-383B-4116-BE1C-A5FAFFB8AF8F}"/>
                </a:ext>
              </a:extLst>
            </xdr:cNvPr>
            <xdr:cNvGraphicFramePr/>
          </xdr:nvGraphicFramePr>
          <xdr:xfrm>
            <a:off x="0" y="0"/>
            <a:ext cx="0" cy="0"/>
          </xdr:xfrm>
          <a:graphic>
            <a:graphicData uri="http://schemas.microsoft.com/office/drawing/2010/slicer">
              <sle:slicer xmlns:sle="http://schemas.microsoft.com/office/drawing/2010/slicer" name="Product Family"/>
            </a:graphicData>
          </a:graphic>
        </xdr:graphicFrame>
      </mc:Choice>
      <mc:Fallback>
        <xdr:sp macro="" textlink="">
          <xdr:nvSpPr>
            <xdr:cNvPr id="0" name=""/>
            <xdr:cNvSpPr>
              <a:spLocks noTextEdit="1"/>
            </xdr:cNvSpPr>
          </xdr:nvSpPr>
          <xdr:spPr>
            <a:xfrm>
              <a:off x="603504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167640</xdr:rowOff>
    </xdr:from>
    <xdr:to>
      <xdr:col>11</xdr:col>
      <xdr:colOff>91440</xdr:colOff>
      <xdr:row>22</xdr:row>
      <xdr:rowOff>99060</xdr:rowOff>
    </xdr:to>
    <xdr:graphicFrame macro="">
      <xdr:nvGraphicFramePr>
        <xdr:cNvPr id="2" name="Chart 1">
          <a:extLst>
            <a:ext uri="{FF2B5EF4-FFF2-40B4-BE49-F238E27FC236}">
              <a16:creationId xmlns:a16="http://schemas.microsoft.com/office/drawing/2014/main" id="{79C8EEBE-83BF-46B1-9D8C-B7F83C081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137160</xdr:rowOff>
    </xdr:from>
    <xdr:to>
      <xdr:col>10</xdr:col>
      <xdr:colOff>586740</xdr:colOff>
      <xdr:row>21</xdr:row>
      <xdr:rowOff>60960</xdr:rowOff>
    </xdr:to>
    <xdr:graphicFrame macro="">
      <xdr:nvGraphicFramePr>
        <xdr:cNvPr id="2" name="Chart 1">
          <a:extLst>
            <a:ext uri="{FF2B5EF4-FFF2-40B4-BE49-F238E27FC236}">
              <a16:creationId xmlns:a16="http://schemas.microsoft.com/office/drawing/2014/main" id="{85DCB742-3348-40AF-A1ED-AEA111D34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2.463619907408" createdVersion="8" refreshedVersion="8" minRefreshableVersion="3" recordCount="477" xr:uid="{C54A0523-4C51-471D-9EC1-C6E93064A72E}">
  <cacheSource type="worksheet">
    <worksheetSource ref="A1:AA478" sheet="Sales_Data"/>
  </cacheSource>
  <cacheFields count="30">
    <cacheField name="Order ID" numFmtId="0">
      <sharedItems/>
    </cacheField>
    <cacheField name="Order Date" numFmtId="164">
      <sharedItems containsSemiMixedTypes="0" containsNonDate="0" containsDate="1" containsString="0" minDate="2024-01-01T00:00:00" maxDate="2025-12-30T00:00:00" count="351">
        <d v="2025-09-30T00:00:00"/>
        <d v="2024-04-29T00:00:00"/>
        <d v="2024-03-08T00:00:00"/>
        <d v="2025-05-18T00:00:00"/>
        <d v="2025-06-02T00:00:00"/>
        <d v="2025-12-24T00:00:00"/>
        <d v="2024-07-24T00:00:00"/>
        <d v="2024-07-26T00:00:00"/>
        <d v="2024-10-01T00:00:00"/>
        <d v="2024-02-10T00:00:00"/>
        <d v="2024-06-09T00:00:00"/>
        <d v="2024-02-27T00:00:00"/>
        <d v="2025-04-09T00:00:00"/>
        <d v="2024-02-13T00:00:00"/>
        <d v="2024-10-06T00:00:00"/>
        <d v="2025-01-06T00:00:00"/>
        <d v="2024-08-09T00:00:00"/>
        <d v="2024-02-04T00:00:00"/>
        <d v="2024-11-18T00:00:00"/>
        <d v="2025-06-21T00:00:00"/>
        <d v="2025-04-10T00:00:00"/>
        <d v="2025-02-17T00:00:00"/>
        <d v="2024-01-14T00:00:00"/>
        <d v="2025-04-26T00:00:00"/>
        <d v="2025-06-30T00:00:00"/>
        <d v="2024-04-07T00:00:00"/>
        <d v="2025-12-25T00:00:00"/>
        <d v="2025-09-19T00:00:00"/>
        <d v="2025-02-10T00:00:00"/>
        <d v="2024-08-12T00:00:00"/>
        <d v="2024-04-20T00:00:00"/>
        <d v="2024-08-06T00:00:00"/>
        <d v="2025-11-30T00:00:00"/>
        <d v="2025-08-27T00:00:00"/>
        <d v="2025-11-14T00:00:00"/>
        <d v="2024-04-12T00:00:00"/>
        <d v="2024-04-05T00:00:00"/>
        <d v="2025-08-12T00:00:00"/>
        <d v="2025-09-27T00:00:00"/>
        <d v="2025-01-16T00:00:00"/>
        <d v="2024-03-23T00:00:00"/>
        <d v="2025-05-24T00:00:00"/>
        <d v="2025-08-28T00:00:00"/>
        <d v="2025-01-05T00:00:00"/>
        <d v="2025-03-16T00:00:00"/>
        <d v="2024-05-06T00:00:00"/>
        <d v="2024-09-14T00:00:00"/>
        <d v="2025-05-31T00:00:00"/>
        <d v="2024-01-26T00:00:00"/>
        <d v="2025-10-07T00:00:00"/>
        <d v="2024-05-02T00:00:00"/>
        <d v="2024-03-22T00:00:00"/>
        <d v="2025-05-04T00:00:00"/>
        <d v="2024-01-21T00:00:00"/>
        <d v="2025-12-14T00:00:00"/>
        <d v="2024-05-27T00:00:00"/>
        <d v="2025-01-29T00:00:00"/>
        <d v="2025-05-28T00:00:00"/>
        <d v="2025-05-26T00:00:00"/>
        <d v="2025-06-26T00:00:00"/>
        <d v="2025-01-28T00:00:00"/>
        <d v="2024-09-02T00:00:00"/>
        <d v="2024-02-09T00:00:00"/>
        <d v="2025-10-11T00:00:00"/>
        <d v="2024-10-30T00:00:00"/>
        <d v="2024-09-04T00:00:00"/>
        <d v="2025-05-08T00:00:00"/>
        <d v="2024-07-10T00:00:00"/>
        <d v="2024-08-24T00:00:00"/>
        <d v="2024-10-14T00:00:00"/>
        <d v="2024-02-26T00:00:00"/>
        <d v="2025-10-02T00:00:00"/>
        <d v="2025-11-03T00:00:00"/>
        <d v="2024-01-01T00:00:00"/>
        <d v="2024-04-21T00:00:00"/>
        <d v="2025-08-07T00:00:00"/>
        <d v="2024-05-14T00:00:00"/>
        <d v="2025-08-17T00:00:00"/>
        <d v="2024-12-07T00:00:00"/>
        <d v="2024-09-05T00:00:00"/>
        <d v="2025-12-29T00:00:00"/>
        <d v="2025-01-14T00:00:00"/>
        <d v="2024-01-28T00:00:00"/>
        <d v="2025-05-25T00:00:00"/>
        <d v="2024-08-22T00:00:00"/>
        <d v="2024-11-21T00:00:00"/>
        <d v="2024-08-30T00:00:00"/>
        <d v="2025-06-04T00:00:00"/>
        <d v="2025-05-19T00:00:00"/>
        <d v="2025-09-16T00:00:00"/>
        <d v="2025-03-17T00:00:00"/>
        <d v="2024-12-26T00:00:00"/>
        <d v="2024-05-13T00:00:00"/>
        <d v="2024-03-13T00:00:00"/>
        <d v="2025-07-13T00:00:00"/>
        <d v="2025-08-13T00:00:00"/>
        <d v="2025-09-09T00:00:00"/>
        <d v="2024-10-10T00:00:00"/>
        <d v="2024-03-01T00:00:00"/>
        <d v="2024-06-05T00:00:00"/>
        <d v="2025-12-02T00:00:00"/>
        <d v="2025-07-12T00:00:00"/>
        <d v="2025-06-14T00:00:00"/>
        <d v="2024-01-04T00:00:00"/>
        <d v="2024-08-31T00:00:00"/>
        <d v="2025-09-29T00:00:00"/>
        <d v="2025-07-28T00:00:00"/>
        <d v="2025-09-05T00:00:00"/>
        <d v="2025-08-21T00:00:00"/>
        <d v="2025-12-13T00:00:00"/>
        <d v="2024-05-11T00:00:00"/>
        <d v="2024-05-21T00:00:00"/>
        <d v="2024-10-11T00:00:00"/>
        <d v="2024-07-05T00:00:00"/>
        <d v="2024-09-27T00:00:00"/>
        <d v="2025-03-19T00:00:00"/>
        <d v="2025-01-27T00:00:00"/>
        <d v="2024-02-29T00:00:00"/>
        <d v="2024-06-10T00:00:00"/>
        <d v="2024-10-26T00:00:00"/>
        <d v="2024-05-09T00:00:00"/>
        <d v="2024-11-06T00:00:00"/>
        <d v="2025-11-07T00:00:00"/>
        <d v="2024-06-03T00:00:00"/>
        <d v="2025-03-06T00:00:00"/>
        <d v="2025-06-23T00:00:00"/>
        <d v="2025-06-24T00:00:00"/>
        <d v="2025-04-06T00:00:00"/>
        <d v="2024-10-13T00:00:00"/>
        <d v="2024-05-10T00:00:00"/>
        <d v="2025-02-12T00:00:00"/>
        <d v="2024-11-05T00:00:00"/>
        <d v="2025-02-28T00:00:00"/>
        <d v="2024-11-16T00:00:00"/>
        <d v="2025-10-14T00:00:00"/>
        <d v="2025-04-01T00:00:00"/>
        <d v="2024-03-26T00:00:00"/>
        <d v="2024-03-09T00:00:00"/>
        <d v="2025-09-03T00:00:00"/>
        <d v="2024-09-10T00:00:00"/>
        <d v="2024-07-31T00:00:00"/>
        <d v="2024-07-08T00:00:00"/>
        <d v="2025-12-21T00:00:00"/>
        <d v="2024-01-31T00:00:00"/>
        <d v="2025-11-13T00:00:00"/>
        <d v="2025-09-22T00:00:00"/>
        <d v="2025-04-16T00:00:00"/>
        <d v="2025-07-27T00:00:00"/>
        <d v="2025-01-15T00:00:00"/>
        <d v="2024-12-04T00:00:00"/>
        <d v="2025-12-22T00:00:00"/>
        <d v="2024-09-12T00:00:00"/>
        <d v="2025-10-15T00:00:00"/>
        <d v="2024-08-27T00:00:00"/>
        <d v="2025-03-15T00:00:00"/>
        <d v="2025-04-07T00:00:00"/>
        <d v="2025-11-29T00:00:00"/>
        <d v="2025-07-23T00:00:00"/>
        <d v="2024-10-21T00:00:00"/>
        <d v="2024-12-25T00:00:00"/>
        <d v="2025-09-18T00:00:00"/>
        <d v="2024-10-18T00:00:00"/>
        <d v="2025-03-11T00:00:00"/>
        <d v="2025-10-23T00:00:00"/>
        <d v="2024-07-03T00:00:00"/>
        <d v="2024-09-21T00:00:00"/>
        <d v="2024-06-07T00:00:00"/>
        <d v="2024-04-28T00:00:00"/>
        <d v="2024-11-10T00:00:00"/>
        <d v="2025-05-11T00:00:00"/>
        <d v="2024-11-13T00:00:00"/>
        <d v="2025-08-24T00:00:00"/>
        <d v="2024-03-30T00:00:00"/>
        <d v="2025-08-18T00:00:00"/>
        <d v="2025-10-03T00:00:00"/>
        <d v="2025-01-04T00:00:00"/>
        <d v="2024-11-28T00:00:00"/>
        <d v="2024-05-19T00:00:00"/>
        <d v="2024-09-15T00:00:00"/>
        <d v="2024-05-26T00:00:00"/>
        <d v="2024-09-01T00:00:00"/>
        <d v="2025-05-09T00:00:00"/>
        <d v="2024-09-13T00:00:00"/>
        <d v="2025-02-07T00:00:00"/>
        <d v="2024-09-03T00:00:00"/>
        <d v="2024-06-27T00:00:00"/>
        <d v="2025-03-27T00:00:00"/>
        <d v="2025-08-25T00:00:00"/>
        <d v="2025-12-05T00:00:00"/>
        <d v="2025-01-23T00:00:00"/>
        <d v="2024-03-03T00:00:00"/>
        <d v="2025-09-26T00:00:00"/>
        <d v="2025-11-25T00:00:00"/>
        <d v="2025-10-22T00:00:00"/>
        <d v="2025-06-05T00:00:00"/>
        <d v="2025-12-11T00:00:00"/>
        <d v="2025-07-31T00:00:00"/>
        <d v="2025-03-25T00:00:00"/>
        <d v="2025-04-03T00:00:00"/>
        <d v="2025-01-09T00:00:00"/>
        <d v="2024-06-28T00:00:00"/>
        <d v="2024-08-20T00:00:00"/>
        <d v="2024-03-20T00:00:00"/>
        <d v="2024-04-23T00:00:00"/>
        <d v="2025-06-28T00:00:00"/>
        <d v="2024-02-23T00:00:00"/>
        <d v="2024-10-08T00:00:00"/>
        <d v="2025-10-01T00:00:00"/>
        <d v="2024-05-29T00:00:00"/>
        <d v="2024-08-15T00:00:00"/>
        <d v="2024-08-13T00:00:00"/>
        <d v="2025-01-21T00:00:00"/>
        <d v="2024-04-27T00:00:00"/>
        <d v="2025-04-20T00:00:00"/>
        <d v="2025-03-10T00:00:00"/>
        <d v="2024-12-06T00:00:00"/>
        <d v="2025-03-20T00:00:00"/>
        <d v="2024-11-07T00:00:00"/>
        <d v="2025-05-27T00:00:00"/>
        <d v="2024-04-03T00:00:00"/>
        <d v="2025-05-13T00:00:00"/>
        <d v="2025-08-11T00:00:00"/>
        <d v="2024-04-02T00:00:00"/>
        <d v="2025-12-12T00:00:00"/>
        <d v="2024-06-13T00:00:00"/>
        <d v="2024-10-16T00:00:00"/>
        <d v="2025-07-25T00:00:00"/>
        <d v="2024-08-07T00:00:00"/>
        <d v="2025-07-21T00:00:00"/>
        <d v="2025-06-25T00:00:00"/>
        <d v="2025-03-18T00:00:00"/>
        <d v="2024-12-30T00:00:00"/>
        <d v="2024-07-30T00:00:00"/>
        <d v="2025-04-30T00:00:00"/>
        <d v="2025-01-24T00:00:00"/>
        <d v="2024-04-08T00:00:00"/>
        <d v="2025-03-21T00:00:00"/>
        <d v="2024-12-13T00:00:00"/>
        <d v="2024-04-15T00:00:00"/>
        <d v="2024-11-04T00:00:00"/>
        <d v="2024-01-30T00:00:00"/>
        <d v="2024-11-22T00:00:00"/>
        <d v="2025-08-05T00:00:00"/>
        <d v="2025-05-02T00:00:00"/>
        <d v="2025-05-22T00:00:00"/>
        <d v="2025-05-07T00:00:00"/>
        <d v="2024-07-19T00:00:00"/>
        <d v="2024-06-06T00:00:00"/>
        <d v="2025-03-01T00:00:00"/>
        <d v="2025-10-21T00:00:00"/>
        <d v="2024-03-11T00:00:00"/>
        <d v="2024-10-31T00:00:00"/>
        <d v="2025-11-24T00:00:00"/>
        <d v="2024-10-24T00:00:00"/>
        <d v="2025-03-23T00:00:00"/>
        <d v="2025-11-12T00:00:00"/>
        <d v="2024-04-14T00:00:00"/>
        <d v="2024-08-02T00:00:00"/>
        <d v="2024-11-24T00:00:00"/>
        <d v="2024-03-27T00:00:00"/>
        <d v="2024-02-06T00:00:00"/>
        <d v="2024-02-11T00:00:00"/>
        <d v="2025-12-08T00:00:00"/>
        <d v="2025-03-29T00:00:00"/>
        <d v="2024-09-08T00:00:00"/>
        <d v="2024-07-15T00:00:00"/>
        <d v="2025-12-10T00:00:00"/>
        <d v="2024-03-19T00:00:00"/>
        <d v="2025-05-06T00:00:00"/>
        <d v="2024-02-20T00:00:00"/>
        <d v="2025-04-12T00:00:00"/>
        <d v="2024-11-01T00:00:00"/>
        <d v="2025-07-14T00:00:00"/>
        <d v="2025-06-10T00:00:00"/>
        <d v="2025-08-04T00:00:00"/>
        <d v="2024-06-08T00:00:00"/>
        <d v="2024-03-18T00:00:00"/>
        <d v="2024-01-10T00:00:00"/>
        <d v="2024-02-08T00:00:00"/>
        <d v="2024-05-04T00:00:00"/>
        <d v="2025-06-18T00:00:00"/>
        <d v="2025-04-15T00:00:00"/>
        <d v="2025-11-01T00:00:00"/>
        <d v="2024-05-07T00:00:00"/>
        <d v="2025-09-23T00:00:00"/>
        <d v="2025-07-22T00:00:00"/>
        <d v="2024-03-10T00:00:00"/>
        <d v="2025-06-15T00:00:00"/>
        <d v="2025-11-19T00:00:00"/>
        <d v="2025-02-04T00:00:00"/>
        <d v="2024-09-06T00:00:00"/>
        <d v="2025-01-20T00:00:00"/>
        <d v="2025-04-18T00:00:00"/>
        <d v="2024-11-19T00:00:00"/>
        <d v="2025-04-14T00:00:00"/>
        <d v="2025-02-24T00:00:00"/>
        <d v="2024-09-24T00:00:00"/>
        <d v="2024-09-23T00:00:00"/>
        <d v="2025-07-08T00:00:00"/>
        <d v="2024-05-18T00:00:00"/>
        <d v="2025-11-10T00:00:00"/>
        <d v="2024-12-16T00:00:00"/>
        <d v="2024-02-18T00:00:00"/>
        <d v="2025-10-27T00:00:00"/>
        <d v="2025-09-04T00:00:00"/>
        <d v="2024-07-23T00:00:00"/>
        <d v="2025-01-30T00:00:00"/>
        <d v="2025-06-20T00:00:00"/>
        <d v="2025-11-02T00:00:00"/>
        <d v="2024-03-06T00:00:00"/>
        <d v="2025-04-19T00:00:00"/>
        <d v="2024-06-02T00:00:00"/>
        <d v="2025-03-24T00:00:00"/>
        <d v="2024-12-19T00:00:00"/>
        <d v="2025-03-31T00:00:00"/>
        <d v="2025-10-17T00:00:00"/>
        <d v="2025-02-18T00:00:00"/>
        <d v="2025-03-13T00:00:00"/>
        <d v="2024-01-17T00:00:00"/>
        <d v="2024-05-28T00:00:00"/>
        <d v="2024-10-17T00:00:00"/>
        <d v="2025-02-03T00:00:00"/>
        <d v="2025-02-05T00:00:00"/>
        <d v="2025-08-16T00:00:00"/>
        <d v="2025-08-09T00:00:00"/>
        <d v="2024-09-17T00:00:00"/>
        <d v="2025-06-06T00:00:00"/>
        <d v="2024-01-25T00:00:00"/>
        <d v="2025-10-30T00:00:00"/>
        <d v="2025-02-15T00:00:00"/>
        <d v="2025-08-29T00:00:00"/>
        <d v="2024-10-29T00:00:00"/>
        <d v="2024-01-11T00:00:00"/>
        <d v="2024-09-20T00:00:00"/>
        <d v="2024-05-08T00:00:00"/>
        <d v="2025-12-04T00:00:00"/>
        <d v="2025-09-07T00:00:00"/>
        <d v="2025-11-17T00:00:00"/>
        <d v="2025-07-26T00:00:00"/>
        <d v="2024-09-29T00:00:00"/>
        <d v="2024-11-12T00:00:00"/>
        <d v="2024-06-16T00:00:00"/>
        <d v="2024-07-14T00:00:00"/>
        <d v="2025-02-11T00:00:00"/>
        <d v="2024-05-22T00:00:00"/>
        <d v="2024-01-19T00:00:00"/>
        <d v="2025-08-26T00:00:00"/>
        <d v="2025-08-10T00:00:00"/>
        <d v="2024-02-25T00:00:00"/>
        <d v="2024-09-25T00:00:00"/>
        <d v="2025-09-14T00:00:00"/>
      </sharedItems>
      <fieldGroup par="29"/>
    </cacheField>
    <cacheField name="Year" numFmtId="0">
      <sharedItems containsSemiMixedTypes="0" containsString="0" containsNumber="1" containsInteger="1" minValue="2024" maxValue="2025"/>
    </cacheField>
    <cacheField name="Month" numFmtId="0">
      <sharedItems count="12">
        <s v="Sep"/>
        <s v="Apr"/>
        <s v="Mar"/>
        <s v="May"/>
        <s v="Jun"/>
        <s v="Dec"/>
        <s v="Jul"/>
        <s v="Oct"/>
        <s v="Feb"/>
        <s v="Jan"/>
        <s v="Aug"/>
        <s v="Nov"/>
      </sharedItems>
    </cacheField>
    <cacheField name="Quarter" numFmtId="0">
      <sharedItems/>
    </cacheField>
    <cacheField name="Region" numFmtId="0">
      <sharedItems count="7">
        <s v="East Asia"/>
        <s v="Europe"/>
        <s v="Middle East"/>
        <s v="North America"/>
        <s v="Southeast Asia"/>
        <s v="South Asia"/>
        <s v="Africa"/>
      </sharedItems>
    </cacheField>
    <cacheField name="Country" numFmtId="0">
      <sharedItems/>
    </cacheField>
    <cacheField name="Channel" numFmtId="0">
      <sharedItems/>
    </cacheField>
    <cacheField name="Customer Segment" numFmtId="0">
      <sharedItems count="8">
        <s v="Construction contractor"/>
        <s v="Energy company"/>
        <s v="Fabricator"/>
        <s v="Packaging manufacturer"/>
        <s v="OEM"/>
        <s v="Pipe mill"/>
        <s v="Service center"/>
        <s v="Distributor"/>
      </sharedItems>
    </cacheField>
    <cacheField name="End Market" numFmtId="0">
      <sharedItems/>
    </cacheField>
    <cacheField name="Product Family" numFmtId="0">
      <sharedItems count="4">
        <s v="Rebar"/>
        <s v="Plate"/>
        <s v="Tubular OCTG"/>
        <s v="Steel pipe"/>
      </sharedItems>
    </cacheField>
    <cacheField name="Product Form" numFmtId="0">
      <sharedItems count="4">
        <s v="Bar"/>
        <s v="Plate"/>
        <s v="Tube"/>
        <s v="Pipe"/>
      </sharedItems>
    </cacheField>
    <cacheField name="Grade/Spec" numFmtId="0">
      <sharedItems/>
    </cacheField>
    <cacheField name="Thickness mm" numFmtId="0">
      <sharedItems containsSemiMixedTypes="0" containsString="0" containsNumber="1" minValue="2.04" maxValue="74.790000000000006"/>
    </cacheField>
    <cacheField name="Width/Diameter mm" numFmtId="0">
      <sharedItems containsSemiMixedTypes="0" containsString="0" containsNumber="1" containsInteger="1" minValue="8" maxValue="3195"/>
    </cacheField>
    <cacheField name="Length m" numFmtId="0">
      <sharedItems containsSemiMixedTypes="0" containsString="0" containsNumber="1" minValue="3" maxValue="12"/>
    </cacheField>
    <cacheField name="Quantity tons" numFmtId="4">
      <sharedItems containsSemiMixedTypes="0" containsString="0" containsNumber="1" minValue="4.9000000000000004" maxValue="732.3"/>
    </cacheField>
    <cacheField name="Unit Price USD/t" numFmtId="165">
      <sharedItems containsSemiMixedTypes="0" containsString="0" containsNumber="1" minValue="638.98" maxValue="1839.51"/>
    </cacheField>
    <cacheField name="Gross Sales USD" numFmtId="165">
      <sharedItems containsSemiMixedTypes="0" containsString="0" containsNumber="1" minValue="6427.49" maxValue="619326.18999999994"/>
    </cacheField>
    <cacheField name="Discount %" numFmtId="166">
      <sharedItems containsSemiMixedTypes="0" containsString="0" containsNumber="1" minValue="1.2500000000000001E-2" maxValue="7.4399999999999994E-2"/>
    </cacheField>
    <cacheField name="Net Sales USD" numFmtId="165">
      <sharedItems containsSemiMixedTypes="0" containsString="0" containsNumber="1" minValue="6075.91" maxValue="583838.80000000005"/>
    </cacheField>
    <cacheField name="Freight USD" numFmtId="165">
      <sharedItems containsSemiMixedTypes="0" containsString="0" containsNumber="1" minValue="136.09" maxValue="60429.95"/>
    </cacheField>
    <cacheField name="Margin %" numFmtId="166">
      <sharedItems containsSemiMixedTypes="0" containsString="0" containsNumber="1" minValue="9.8100000000000007E-2" maxValue="0.30359999999999998"/>
    </cacheField>
    <cacheField name="Gross Margin USD" numFmtId="165">
      <sharedItems containsSemiMixedTypes="0" containsString="0" containsNumber="1" minValue="936.77" maxValue="117984.87"/>
    </cacheField>
    <cacheField name="Payment Terms" numFmtId="0">
      <sharedItems/>
    </cacheField>
    <cacheField name="Sales Rep" numFmtId="0">
      <sharedItems/>
    </cacheField>
    <cacheField name="Data Note" numFmtId="0">
      <sharedItems/>
    </cacheField>
    <cacheField name="Months (Order Date)" numFmtId="0" databaseField="0">
      <fieldGroup base="1">
        <rangePr groupBy="months" startDate="2024-01-01T00:00:00" endDate="2025-12-30T00:00:00"/>
        <groupItems count="14">
          <s v="&lt;1/1/2024"/>
          <s v="Jan"/>
          <s v="Feb"/>
          <s v="Mar"/>
          <s v="Apr"/>
          <s v="May"/>
          <s v="Jun"/>
          <s v="Jul"/>
          <s v="Aug"/>
          <s v="Sep"/>
          <s v="Oct"/>
          <s v="Nov"/>
          <s v="Dec"/>
          <s v="&gt;12/30/2025"/>
        </groupItems>
      </fieldGroup>
    </cacheField>
    <cacheField name="Quarters (Order Date)" numFmtId="0" databaseField="0">
      <fieldGroup base="1">
        <rangePr groupBy="quarters" startDate="2024-01-01T00:00:00" endDate="2025-12-30T00:00:00"/>
        <groupItems count="6">
          <s v="&lt;1/1/2024"/>
          <s v="Qtr1"/>
          <s v="Qtr2"/>
          <s v="Qtr3"/>
          <s v="Qtr4"/>
          <s v="&gt;12/30/2025"/>
        </groupItems>
      </fieldGroup>
    </cacheField>
    <cacheField name="Years (Order Date)" numFmtId="0" databaseField="0">
      <fieldGroup base="1">
        <rangePr groupBy="years" startDate="2024-01-01T00:00:00" endDate="2025-12-30T00:00:00"/>
        <groupItems count="4">
          <s v="&lt;1/1/2024"/>
          <s v="2024"/>
          <s v="2025"/>
          <s v="&gt;12/3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
  <r>
    <s v="STL-2025-00002"/>
    <x v="0"/>
    <n v="2025"/>
    <x v="0"/>
    <s v="Q3"/>
    <x v="0"/>
    <s v="Japan"/>
    <s v="Export direct"/>
    <x v="0"/>
    <s v="Infrastructure"/>
    <x v="0"/>
    <x v="0"/>
    <s v="BS 4449"/>
    <n v="37.020000000000003"/>
    <n v="22"/>
    <n v="7.7"/>
    <n v="216.1"/>
    <n v="680.8"/>
    <n v="147120.88"/>
    <n v="3.9199999999999999E-2"/>
    <n v="141353.74"/>
    <n v="20469.689999999999"/>
    <n v="0.1052"/>
    <n v="14870.41"/>
    <s v="Advance"/>
    <s v="R. Iyer"/>
    <s v="Synthetic sample row shaped by public steel product sales and shipment references"/>
  </r>
  <r>
    <s v="STL-2024-00003"/>
    <x v="1"/>
    <n v="2024"/>
    <x v="1"/>
    <s v="Q2"/>
    <x v="1"/>
    <s v="Italy"/>
    <s v="Export direct"/>
    <x v="1"/>
    <s v="Industrial machinery"/>
    <x v="1"/>
    <x v="1"/>
    <s v="JIS SM490"/>
    <n v="44.67"/>
    <n v="3157"/>
    <n v="10"/>
    <n v="265.81"/>
    <n v="1205.2"/>
    <n v="320354.21000000002"/>
    <n v="5.3900000000000003E-2"/>
    <n v="303087.12"/>
    <n v="23116.51"/>
    <n v="0.24740000000000001"/>
    <n v="74983.75"/>
    <s v="Net 45"/>
    <s v="S. Kapoor"/>
    <s v="Synthetic sample row shaped by public steel product sales and shipment references"/>
  </r>
  <r>
    <s v="STL-2024-00004"/>
    <x v="2"/>
    <n v="2024"/>
    <x v="2"/>
    <s v="Q1"/>
    <x v="2"/>
    <s v="Qatar"/>
    <s v="Domestic direct"/>
    <x v="2"/>
    <s v="Energy"/>
    <x v="2"/>
    <x v="2"/>
    <s v="API P110"/>
    <n v="10.88"/>
    <n v="118"/>
    <n v="9.3000000000000007"/>
    <n v="63.61"/>
    <n v="1576.98"/>
    <n v="100311.7"/>
    <n v="5.0900000000000001E-2"/>
    <n v="95205.83"/>
    <n v="2266.1999999999998"/>
    <n v="0.18759999999999999"/>
    <n v="17860.61"/>
    <s v="LC at sight"/>
    <s v="K. Wilson"/>
    <s v="Synthetic sample row shaped by public steel product sales and shipment references"/>
  </r>
  <r>
    <s v="STL-2025-00008"/>
    <x v="3"/>
    <n v="2025"/>
    <x v="3"/>
    <s v="Q2"/>
    <x v="3"/>
    <s v="Mexico"/>
    <s v="Domestic direct"/>
    <x v="2"/>
    <s v="Construction"/>
    <x v="0"/>
    <x v="0"/>
    <s v="ASTM A615"/>
    <n v="15.57"/>
    <n v="9"/>
    <n v="8.8000000000000007"/>
    <n v="58.13"/>
    <n v="754.89"/>
    <n v="43881.760000000002"/>
    <n v="4.8800000000000003E-2"/>
    <n v="41740.33"/>
    <n v="1086.68"/>
    <n v="0.25190000000000001"/>
    <n v="10514.39"/>
    <s v="Net 30"/>
    <s v="R. Iyer"/>
    <s v="Synthetic sample row shaped by public steel product sales and shipment references"/>
  </r>
  <r>
    <s v="STL-2025-00010"/>
    <x v="4"/>
    <n v="2025"/>
    <x v="4"/>
    <s v="Q2"/>
    <x v="1"/>
    <s v="Poland"/>
    <s v="Domestic distributor"/>
    <x v="3"/>
    <s v="Industrial machinery"/>
    <x v="1"/>
    <x v="1"/>
    <s v="ASTM A516"/>
    <n v="49.75"/>
    <n v="2229"/>
    <n v="3.9"/>
    <n v="25.44"/>
    <n v="1306.82"/>
    <n v="33245.5"/>
    <n v="2.5999999999999999E-2"/>
    <n v="32381.119999999999"/>
    <n v="488.02"/>
    <n v="0.15040000000000001"/>
    <n v="4870.12"/>
    <s v="Net 45"/>
    <s v="D. Chen"/>
    <s v="Synthetic sample row shaped by public steel product sales and shipment references"/>
  </r>
  <r>
    <s v="STL-2025-00012"/>
    <x v="5"/>
    <n v="2025"/>
    <x v="5"/>
    <s v="Q4"/>
    <x v="4"/>
    <s v="Indonesia"/>
    <s v="Export distributor"/>
    <x v="0"/>
    <s v="Energy"/>
    <x v="3"/>
    <x v="3"/>
    <s v="JIS G3444"/>
    <n v="11.97"/>
    <n v="218"/>
    <n v="5.6"/>
    <n v="194.51"/>
    <n v="1092.8"/>
    <n v="212560.53"/>
    <n v="3.2199999999999999E-2"/>
    <n v="205716.08"/>
    <n v="18749.57"/>
    <n v="0.23130000000000001"/>
    <n v="47582.13"/>
    <s v="LC at sight"/>
    <s v="M. Alvarez"/>
    <s v="Synthetic sample row shaped by public steel product sales and shipment references"/>
  </r>
  <r>
    <s v="STL-2024-00014"/>
    <x v="6"/>
    <n v="2024"/>
    <x v="6"/>
    <s v="Q3"/>
    <x v="1"/>
    <s v="Germany"/>
    <s v="Domestic direct"/>
    <x v="3"/>
    <s v="Infrastructure"/>
    <x v="3"/>
    <x v="3"/>
    <s v="JIS G3444"/>
    <n v="4.34"/>
    <n v="551"/>
    <n v="10.1"/>
    <n v="122.4"/>
    <n v="1150.99"/>
    <n v="140881.18"/>
    <n v="3.3599999999999998E-2"/>
    <n v="136147.57"/>
    <n v="3291.93"/>
    <n v="0.24260000000000001"/>
    <n v="33029.4"/>
    <s v="LC at sight"/>
    <s v="K. Wilson"/>
    <s v="Synthetic sample row shaped by public steel product sales and shipment references"/>
  </r>
  <r>
    <s v="STL-2024-00016"/>
    <x v="7"/>
    <n v="2024"/>
    <x v="6"/>
    <s v="Q3"/>
    <x v="1"/>
    <s v="Poland"/>
    <s v="Export direct"/>
    <x v="2"/>
    <s v="Energy"/>
    <x v="3"/>
    <x v="3"/>
    <s v="API 5L"/>
    <n v="7.09"/>
    <n v="533"/>
    <n v="5.6"/>
    <n v="144.72"/>
    <n v="1221.67"/>
    <n v="176800.08"/>
    <n v="5.7500000000000002E-2"/>
    <n v="166634.07999999999"/>
    <n v="10785.4"/>
    <n v="0.14879999999999999"/>
    <n v="24795.15"/>
    <s v="LC at sight"/>
    <s v="N. Sharma"/>
    <s v="Synthetic sample row shaped by public steel product sales and shipment references"/>
  </r>
  <r>
    <s v="STL-2024-00017"/>
    <x v="8"/>
    <n v="2024"/>
    <x v="7"/>
    <s v="Q4"/>
    <x v="4"/>
    <s v="Malaysia"/>
    <s v="Export distributor"/>
    <x v="0"/>
    <s v="Construction"/>
    <x v="3"/>
    <x v="3"/>
    <s v="JIS G3444"/>
    <n v="15.46"/>
    <n v="151"/>
    <n v="7"/>
    <n v="110.78"/>
    <n v="1211.57"/>
    <n v="134217.72"/>
    <n v="5.4199999999999998E-2"/>
    <n v="126943.12"/>
    <n v="7746.26"/>
    <n v="9.8199999999999996E-2"/>
    <n v="12465.81"/>
    <s v="Net 45"/>
    <s v="N. Sharma"/>
    <s v="Synthetic sample row shaped by public steel product sales and shipment references"/>
  </r>
  <r>
    <s v="STL-2024-00018"/>
    <x v="9"/>
    <n v="2024"/>
    <x v="8"/>
    <s v="Q1"/>
    <x v="2"/>
    <s v="UAE"/>
    <s v="Export direct"/>
    <x v="4"/>
    <s v="Construction"/>
    <x v="0"/>
    <x v="0"/>
    <s v="ASTM A615"/>
    <n v="14.6"/>
    <n v="12"/>
    <n v="8.5"/>
    <n v="183.42"/>
    <n v="752.59"/>
    <n v="138040.06"/>
    <n v="4.9000000000000002E-2"/>
    <n v="131276.1"/>
    <n v="15506.35"/>
    <n v="0.2293"/>
    <n v="30101.61"/>
    <s v="Net 45"/>
    <s v="S. Kapoor"/>
    <s v="Synthetic sample row shaped by public steel product sales and shipment references"/>
  </r>
  <r>
    <s v="STL-2024-00027"/>
    <x v="10"/>
    <n v="2024"/>
    <x v="4"/>
    <s v="Q2"/>
    <x v="5"/>
    <s v="Sri Lanka"/>
    <s v="Export direct"/>
    <x v="5"/>
    <s v="Energy"/>
    <x v="2"/>
    <x v="2"/>
    <s v="API N80"/>
    <n v="11.13"/>
    <n v="83"/>
    <n v="3.9"/>
    <n v="164.45"/>
    <n v="1535.78"/>
    <n v="252559.02"/>
    <n v="5.8400000000000001E-2"/>
    <n v="237809.57"/>
    <n v="12835.85"/>
    <n v="0.26190000000000002"/>
    <n v="62282.33"/>
    <s v="LC at sight"/>
    <s v="K. Wilson"/>
    <s v="Synthetic sample row shaped by public steel product sales and shipment references"/>
  </r>
  <r>
    <s v="STL-2024-00031"/>
    <x v="11"/>
    <n v="2024"/>
    <x v="8"/>
    <s v="Q1"/>
    <x v="6"/>
    <s v="Kenya"/>
    <s v="Export direct"/>
    <x v="2"/>
    <s v="Infrastructure"/>
    <x v="0"/>
    <x v="0"/>
    <s v="B500B"/>
    <n v="18.23"/>
    <n v="23"/>
    <n v="10.1"/>
    <n v="181.93"/>
    <n v="658.3"/>
    <n v="119764.52"/>
    <n v="2.5000000000000001E-2"/>
    <n v="116770.41"/>
    <n v="12094.43"/>
    <n v="0.193"/>
    <n v="22536.69"/>
    <s v="Advance"/>
    <s v="F. Haddad"/>
    <s v="Synthetic sample row shaped by public steel product sales and shipment references"/>
  </r>
  <r>
    <s v="STL-2025-00032"/>
    <x v="12"/>
    <n v="2025"/>
    <x v="1"/>
    <s v="Q2"/>
    <x v="0"/>
    <s v="Taiwan"/>
    <s v="Domestic distributor"/>
    <x v="6"/>
    <s v="Shipbuilding"/>
    <x v="1"/>
    <x v="1"/>
    <s v="ASTM A516"/>
    <n v="47.41"/>
    <n v="3177"/>
    <n v="8.1"/>
    <n v="127.34"/>
    <n v="1175.82"/>
    <n v="149728.92000000001"/>
    <n v="3.85E-2"/>
    <n v="143964.35999999999"/>
    <n v="4950.97"/>
    <n v="0.26590000000000003"/>
    <n v="38280.120000000003"/>
    <s v="Net 45"/>
    <s v="M. Alvarez"/>
    <s v="Synthetic sample row shaped by public steel product sales and shipment references"/>
  </r>
  <r>
    <s v="STL-2024-00033"/>
    <x v="13"/>
    <n v="2024"/>
    <x v="8"/>
    <s v="Q1"/>
    <x v="5"/>
    <s v="Sri Lanka"/>
    <s v="Export distributor"/>
    <x v="7"/>
    <s v="Infrastructure"/>
    <x v="3"/>
    <x v="3"/>
    <s v="EN 10219"/>
    <n v="15.37"/>
    <n v="93"/>
    <n v="3.7"/>
    <n v="79.78"/>
    <n v="991.47"/>
    <n v="79099.48"/>
    <n v="2.52E-2"/>
    <n v="77106.17"/>
    <n v="5852.58"/>
    <n v="0.23119999999999999"/>
    <n v="17826.95"/>
    <s v="LC at sight"/>
    <s v="N. Sharma"/>
    <s v="Synthetic sample row shaped by public steel product sales and shipment references"/>
  </r>
  <r>
    <s v="STL-2024-00036"/>
    <x v="14"/>
    <n v="2024"/>
    <x v="7"/>
    <s v="Q4"/>
    <x v="1"/>
    <s v="Spain"/>
    <s v="Export direct"/>
    <x v="4"/>
    <s v="Infrastructure"/>
    <x v="3"/>
    <x v="3"/>
    <s v="API 5L"/>
    <n v="5.89"/>
    <n v="583"/>
    <n v="10.8"/>
    <n v="247.24"/>
    <n v="1281.79"/>
    <n v="316909.76"/>
    <n v="2.1000000000000001E-2"/>
    <n v="310254.65999999997"/>
    <n v="18005.62"/>
    <n v="0.14369999999999999"/>
    <n v="44583.59"/>
    <s v="Net 45"/>
    <s v="A. Mehta"/>
    <s v="Synthetic sample row shaped by public steel product sales and shipment references"/>
  </r>
  <r>
    <s v="STL-2025-00039"/>
    <x v="15"/>
    <n v="2025"/>
    <x v="9"/>
    <s v="Q1"/>
    <x v="2"/>
    <s v="Saudi Arabia"/>
    <s v="Export direct"/>
    <x v="2"/>
    <s v="Construction"/>
    <x v="0"/>
    <x v="0"/>
    <s v="BS 4449"/>
    <n v="39.46"/>
    <n v="30"/>
    <n v="8.8000000000000007"/>
    <n v="341.53"/>
    <n v="783.86"/>
    <n v="267711.71000000002"/>
    <n v="7.0199999999999999E-2"/>
    <n v="248918.35"/>
    <n v="18272.39"/>
    <n v="0.1535"/>
    <n v="38208.97"/>
    <s v="Advance"/>
    <s v="R. Iyer"/>
    <s v="Synthetic sample row shaped by public steel product sales and shipment references"/>
  </r>
  <r>
    <s v="STL-2024-00040"/>
    <x v="16"/>
    <n v="2024"/>
    <x v="10"/>
    <s v="Q3"/>
    <x v="6"/>
    <s v="South Africa"/>
    <s v="Export direct"/>
    <x v="2"/>
    <s v="Construction"/>
    <x v="0"/>
    <x v="0"/>
    <s v="B500B"/>
    <n v="36.54"/>
    <n v="12"/>
    <n v="4.3"/>
    <n v="732.3"/>
    <n v="744.65"/>
    <n v="545307.18999999994"/>
    <n v="3.3300000000000003E-2"/>
    <n v="527148.46"/>
    <n v="54391.040000000001"/>
    <n v="0.1333"/>
    <n v="70268.89"/>
    <s v="Net 45"/>
    <s v="N. Sharma"/>
    <s v="Synthetic sample row shaped by public steel product sales and shipment references"/>
  </r>
  <r>
    <s v="STL-2024-00043"/>
    <x v="17"/>
    <n v="2024"/>
    <x v="8"/>
    <s v="Q1"/>
    <x v="0"/>
    <s v="Japan"/>
    <s v="Export distributor"/>
    <x v="2"/>
    <s v="Energy"/>
    <x v="3"/>
    <x v="3"/>
    <s v="JIS G3444"/>
    <n v="8.9600000000000009"/>
    <n v="294"/>
    <n v="11.4"/>
    <n v="63.28"/>
    <n v="1210.27"/>
    <n v="76585.89"/>
    <n v="0.04"/>
    <n v="73522.45"/>
    <n v="3850.26"/>
    <n v="0.19400000000000001"/>
    <n v="14263.36"/>
    <s v="Net 15"/>
    <s v="N. Sharma"/>
    <s v="Synthetic sample row shaped by public steel product sales and shipment references"/>
  </r>
  <r>
    <s v="STL-2024-00045"/>
    <x v="18"/>
    <n v="2024"/>
    <x v="11"/>
    <s v="Q4"/>
    <x v="1"/>
    <s v="Spain"/>
    <s v="Export distributor"/>
    <x v="7"/>
    <s v="Energy"/>
    <x v="1"/>
    <x v="1"/>
    <s v="JIS SM490"/>
    <n v="65.88"/>
    <n v="2928"/>
    <n v="11"/>
    <n v="134.66"/>
    <n v="1307.4000000000001"/>
    <n v="176054.48"/>
    <n v="5.0500000000000003E-2"/>
    <n v="167163.73000000001"/>
    <n v="7384.36"/>
    <n v="0.1321"/>
    <n v="22082.33"/>
    <s v="Net 45"/>
    <s v="A. Mehta"/>
    <s v="Synthetic sample row shaped by public steel product sales and shipment references"/>
  </r>
  <r>
    <s v="STL-2025-00046"/>
    <x v="19"/>
    <n v="2025"/>
    <x v="4"/>
    <s v="Q2"/>
    <x v="4"/>
    <s v="Malaysia"/>
    <s v="Export distributor"/>
    <x v="0"/>
    <s v="Energy"/>
    <x v="2"/>
    <x v="2"/>
    <s v="API L80"/>
    <n v="7.3"/>
    <n v="311"/>
    <n v="9"/>
    <n v="72.290000000000006"/>
    <n v="1509.82"/>
    <n v="109144.89"/>
    <n v="4.8300000000000003E-2"/>
    <n v="103873.19"/>
    <n v="6264.5"/>
    <n v="0.28160000000000002"/>
    <n v="29250.69"/>
    <s v="Net 15"/>
    <s v="N. Sharma"/>
    <s v="Synthetic sample row shaped by public steel product sales and shipment references"/>
  </r>
  <r>
    <s v="STL-2025-00048"/>
    <x v="20"/>
    <n v="2025"/>
    <x v="1"/>
    <s v="Q2"/>
    <x v="6"/>
    <s v="South Africa"/>
    <s v="Domestic direct"/>
    <x v="0"/>
    <s v="Shipbuilding"/>
    <x v="1"/>
    <x v="1"/>
    <s v="ASTM A516"/>
    <n v="74.400000000000006"/>
    <n v="2067"/>
    <n v="8.3000000000000007"/>
    <n v="209.09"/>
    <n v="1276.1500000000001"/>
    <n v="266830.2"/>
    <n v="1.9900000000000001E-2"/>
    <n v="261520.28"/>
    <n v="6903.56"/>
    <n v="0.2014"/>
    <n v="52670.18"/>
    <s v="Net 15"/>
    <s v="R. Iyer"/>
    <s v="Synthetic sample row shaped by public steel product sales and shipment references"/>
  </r>
  <r>
    <s v="STL-2025-00049"/>
    <x v="21"/>
    <n v="2025"/>
    <x v="8"/>
    <s v="Q1"/>
    <x v="2"/>
    <s v="Saudi Arabia"/>
    <s v="Domestic distributor"/>
    <x v="4"/>
    <s v="Energy"/>
    <x v="2"/>
    <x v="2"/>
    <s v="API P110"/>
    <n v="5.08"/>
    <n v="277"/>
    <n v="3.7"/>
    <n v="4.9000000000000004"/>
    <n v="1605.34"/>
    <n v="7866.17"/>
    <n v="2.5399999999999999E-2"/>
    <n v="7666.37"/>
    <n v="136.09"/>
    <n v="0.27379999999999999"/>
    <n v="2099.0500000000002"/>
    <s v="Net 15"/>
    <s v="K. Wilson"/>
    <s v="Synthetic sample row shaped by public steel product sales and shipment references"/>
  </r>
  <r>
    <s v="STL-2024-00052"/>
    <x v="22"/>
    <n v="2024"/>
    <x v="9"/>
    <s v="Q1"/>
    <x v="3"/>
    <s v="United States"/>
    <s v="Domestic distributor"/>
    <x v="6"/>
    <s v="Infrastructure"/>
    <x v="3"/>
    <x v="3"/>
    <s v="JIS G3444"/>
    <n v="12.47"/>
    <n v="342"/>
    <n v="10.5"/>
    <n v="14.18"/>
    <n v="1167.06"/>
    <n v="16548.91"/>
    <n v="1.9900000000000001E-2"/>
    <n v="16219.59"/>
    <n v="436.21"/>
    <n v="0.23100000000000001"/>
    <n v="3746.73"/>
    <s v="LC at sight"/>
    <s v="K. Wilson"/>
    <s v="Synthetic sample row shaped by public steel product sales and shipment references"/>
  </r>
  <r>
    <s v="STL-2025-00053"/>
    <x v="23"/>
    <n v="2025"/>
    <x v="1"/>
    <s v="Q2"/>
    <x v="2"/>
    <s v="Qatar"/>
    <s v="Export direct"/>
    <x v="5"/>
    <s v="Infrastructure"/>
    <x v="3"/>
    <x v="3"/>
    <s v="ASTM A53"/>
    <n v="7.6"/>
    <n v="324"/>
    <n v="9.6999999999999993"/>
    <n v="114.22"/>
    <n v="1238.48"/>
    <n v="141459.19"/>
    <n v="3.8199999999999998E-2"/>
    <n v="136055.45000000001"/>
    <n v="8858.5499999999993"/>
    <n v="0.1007"/>
    <n v="13700.78"/>
    <s v="Net 15"/>
    <s v="R. Iyer"/>
    <s v="Synthetic sample row shaped by public steel product sales and shipment references"/>
  </r>
  <r>
    <s v="STL-2025-00054"/>
    <x v="24"/>
    <n v="2025"/>
    <x v="4"/>
    <s v="Q2"/>
    <x v="6"/>
    <s v="Egypt"/>
    <s v="Domestic direct"/>
    <x v="5"/>
    <s v="Construction"/>
    <x v="3"/>
    <x v="3"/>
    <s v="API 5L"/>
    <n v="4.87"/>
    <n v="385"/>
    <n v="9.1"/>
    <n v="116.66"/>
    <n v="1178.7"/>
    <n v="137507.14000000001"/>
    <n v="1.5599999999999999E-2"/>
    <n v="135362.03"/>
    <n v="3599.31"/>
    <n v="0.24829999999999999"/>
    <n v="33610.39"/>
    <s v="Net 15"/>
    <s v="S. Kapoor"/>
    <s v="Synthetic sample row shaped by public steel product sales and shipment references"/>
  </r>
  <r>
    <s v="STL-2024-00055"/>
    <x v="25"/>
    <n v="2024"/>
    <x v="1"/>
    <s v="Q2"/>
    <x v="1"/>
    <s v="Germany"/>
    <s v="Export distributor"/>
    <x v="4"/>
    <s v="Shipbuilding"/>
    <x v="1"/>
    <x v="1"/>
    <s v="JIS SM490"/>
    <n v="46.09"/>
    <n v="2881"/>
    <n v="9.1999999999999993"/>
    <n v="142.93"/>
    <n v="1270.6600000000001"/>
    <n v="181615.43"/>
    <n v="1.9E-2"/>
    <n v="178164.74"/>
    <n v="11808.46"/>
    <n v="0.11509999999999999"/>
    <n v="20506.759999999998"/>
    <s v="Net 45"/>
    <s v="R. Iyer"/>
    <s v="Synthetic sample row shaped by public steel product sales and shipment references"/>
  </r>
  <r>
    <s v="STL-2025-00057"/>
    <x v="26"/>
    <n v="2025"/>
    <x v="5"/>
    <s v="Q4"/>
    <x v="0"/>
    <s v="Japan"/>
    <s v="Domestic distributor"/>
    <x v="5"/>
    <s v="Infrastructure"/>
    <x v="3"/>
    <x v="3"/>
    <s v="ASTM A53"/>
    <n v="12.74"/>
    <n v="362"/>
    <n v="10.4"/>
    <n v="10.37"/>
    <n v="1251.9000000000001"/>
    <n v="12982.2"/>
    <n v="3.4500000000000003E-2"/>
    <n v="12534.31"/>
    <n v="211.07"/>
    <n v="0.18690000000000001"/>
    <n v="2342.66"/>
    <s v="Net 30"/>
    <s v="R. Iyer"/>
    <s v="Synthetic sample row shaped by public steel product sales and shipment references"/>
  </r>
  <r>
    <s v="STL-2025-00058"/>
    <x v="27"/>
    <n v="2025"/>
    <x v="0"/>
    <s v="Q3"/>
    <x v="1"/>
    <s v="Spain"/>
    <s v="Domestic direct"/>
    <x v="5"/>
    <s v="Energy"/>
    <x v="1"/>
    <x v="1"/>
    <s v="JIS SM490"/>
    <n v="38.840000000000003"/>
    <n v="2540"/>
    <n v="9.9"/>
    <n v="64.13"/>
    <n v="1067"/>
    <n v="68426.710000000006"/>
    <n v="2.9600000000000001E-2"/>
    <n v="66401.279999999999"/>
    <n v="2073.69"/>
    <n v="0.2233"/>
    <n v="14827.41"/>
    <s v="Net 30"/>
    <s v="K. Wilson"/>
    <s v="Synthetic sample row shaped by public steel product sales and shipment references"/>
  </r>
  <r>
    <s v="STL-2025-00062"/>
    <x v="28"/>
    <n v="2025"/>
    <x v="8"/>
    <s v="Q1"/>
    <x v="3"/>
    <s v="Canada"/>
    <s v="Export direct"/>
    <x v="1"/>
    <s v="Infrastructure"/>
    <x v="3"/>
    <x v="3"/>
    <s v="API 5L"/>
    <n v="13.5"/>
    <n v="265"/>
    <n v="6.8"/>
    <n v="180.22"/>
    <n v="1218.83"/>
    <n v="219657.54"/>
    <n v="2.07E-2"/>
    <n v="215110.63"/>
    <n v="15174.37"/>
    <n v="0.10780000000000001"/>
    <n v="23188.93"/>
    <s v="Net 45"/>
    <s v="F. Haddad"/>
    <s v="Synthetic sample row shaped by public steel product sales and shipment references"/>
  </r>
  <r>
    <s v="STL-2024-00063"/>
    <x v="29"/>
    <n v="2024"/>
    <x v="10"/>
    <s v="Q3"/>
    <x v="0"/>
    <s v="Taiwan"/>
    <s v="Domestic distributor"/>
    <x v="3"/>
    <s v="Energy"/>
    <x v="2"/>
    <x v="2"/>
    <s v="API J55"/>
    <n v="9.6300000000000008"/>
    <n v="219"/>
    <n v="7.2"/>
    <n v="157.81"/>
    <n v="1449.37"/>
    <n v="228725.08"/>
    <n v="1.9E-2"/>
    <n v="224379.3"/>
    <n v="6349.08"/>
    <n v="0.23469999999999999"/>
    <n v="52661.82"/>
    <s v="Advance"/>
    <s v="D. Chen"/>
    <s v="Synthetic sample row shaped by public steel product sales and shipment references"/>
  </r>
  <r>
    <s v="STL-2024-00065"/>
    <x v="30"/>
    <n v="2024"/>
    <x v="1"/>
    <s v="Q2"/>
    <x v="3"/>
    <s v="United States"/>
    <s v="Domestic distributor"/>
    <x v="6"/>
    <s v="Energy"/>
    <x v="3"/>
    <x v="3"/>
    <s v="API 5L"/>
    <n v="9.11"/>
    <n v="468"/>
    <n v="5.8"/>
    <n v="138.4"/>
    <n v="1388.53"/>
    <n v="192172.55"/>
    <n v="2.2599999999999999E-2"/>
    <n v="187829.45"/>
    <n v="5095.72"/>
    <n v="0.2031"/>
    <n v="38148.160000000003"/>
    <s v="Net 15"/>
    <s v="S. Kapoor"/>
    <s v="Synthetic sample row shaped by public steel product sales and shipment references"/>
  </r>
  <r>
    <s v="STL-2024-00071"/>
    <x v="31"/>
    <n v="2024"/>
    <x v="10"/>
    <s v="Q3"/>
    <x v="4"/>
    <s v="Vietnam"/>
    <s v="Export direct"/>
    <x v="2"/>
    <s v="Infrastructure"/>
    <x v="3"/>
    <x v="3"/>
    <s v="EN 10219"/>
    <n v="14.58"/>
    <n v="517"/>
    <n v="10.199999999999999"/>
    <n v="166.62"/>
    <n v="1088.99"/>
    <n v="181447.51"/>
    <n v="5.4100000000000002E-2"/>
    <n v="171631.2"/>
    <n v="9594.2900000000009"/>
    <n v="0.19939999999999999"/>
    <n v="34223.26"/>
    <s v="Advance"/>
    <s v="M. Alvarez"/>
    <s v="Synthetic sample row shaped by public steel product sales and shipment references"/>
  </r>
  <r>
    <s v="STL-2025-00073"/>
    <x v="32"/>
    <n v="2025"/>
    <x v="11"/>
    <s v="Q4"/>
    <x v="5"/>
    <s v="Bangladesh"/>
    <s v="Export direct"/>
    <x v="4"/>
    <s v="Construction"/>
    <x v="3"/>
    <x v="3"/>
    <s v="ASTM A53"/>
    <n v="14.58"/>
    <n v="185"/>
    <n v="7.1"/>
    <n v="151.83000000000001"/>
    <n v="1201.53"/>
    <n v="182428.3"/>
    <n v="2.7799999999999998E-2"/>
    <n v="177356.79"/>
    <n v="9663.7000000000007"/>
    <n v="0.25679999999999997"/>
    <n v="45545.22"/>
    <s v="Net 30"/>
    <s v="D. Chen"/>
    <s v="Synthetic sample row shaped by public steel product sales and shipment references"/>
  </r>
  <r>
    <s v="STL-2025-00075"/>
    <x v="33"/>
    <n v="2025"/>
    <x v="10"/>
    <s v="Q3"/>
    <x v="1"/>
    <s v="Italy"/>
    <s v="Export distributor"/>
    <x v="4"/>
    <s v="Shipbuilding"/>
    <x v="1"/>
    <x v="1"/>
    <s v="ASTM A572"/>
    <n v="48.63"/>
    <n v="3195"/>
    <n v="7.3"/>
    <n v="15.04"/>
    <n v="1193.3599999999999"/>
    <n v="17948.13"/>
    <n v="3.5499999999999997E-2"/>
    <n v="17310.97"/>
    <n v="1099.8399999999999"/>
    <n v="0.22189999999999999"/>
    <n v="3841.3"/>
    <s v="Net 15"/>
    <s v="N. Sharma"/>
    <s v="Synthetic sample row shaped by public steel product sales and shipment references"/>
  </r>
  <r>
    <s v="STL-2025-00076"/>
    <x v="34"/>
    <n v="2025"/>
    <x v="11"/>
    <s v="Q4"/>
    <x v="3"/>
    <s v="Canada"/>
    <s v="Export distributor"/>
    <x v="4"/>
    <s v="Construction"/>
    <x v="3"/>
    <x v="3"/>
    <s v="EN 10219"/>
    <n v="13"/>
    <n v="462"/>
    <n v="10.1"/>
    <n v="160.88999999999999"/>
    <n v="1361.23"/>
    <n v="219008.29"/>
    <n v="6.1400000000000003E-2"/>
    <n v="205561.18"/>
    <n v="14963"/>
    <n v="0.24490000000000001"/>
    <n v="50341.93"/>
    <s v="Net 30"/>
    <s v="A. Mehta"/>
    <s v="Synthetic sample row shaped by public steel product sales and shipment references"/>
  </r>
  <r>
    <s v="STL-2024-00082"/>
    <x v="35"/>
    <n v="2024"/>
    <x v="1"/>
    <s v="Q2"/>
    <x v="0"/>
    <s v="Japan"/>
    <s v="Domestic direct"/>
    <x v="1"/>
    <s v="Infrastructure"/>
    <x v="3"/>
    <x v="3"/>
    <s v="ASTM A53"/>
    <n v="14.34"/>
    <n v="436"/>
    <n v="8.5"/>
    <n v="203.55"/>
    <n v="1333.22"/>
    <n v="271376.93"/>
    <n v="3.7100000000000001E-2"/>
    <n v="261308.85"/>
    <n v="7888.25"/>
    <n v="0.183"/>
    <n v="47819.519999999997"/>
    <s v="Net 15"/>
    <s v="M. Alvarez"/>
    <s v="Synthetic sample row shaped by public steel product sales and shipment references"/>
  </r>
  <r>
    <s v="STL-2024-00083"/>
    <x v="36"/>
    <n v="2024"/>
    <x v="1"/>
    <s v="Q2"/>
    <x v="6"/>
    <s v="South Africa"/>
    <s v="Domestic distributor"/>
    <x v="7"/>
    <s v="Industrial machinery"/>
    <x v="1"/>
    <x v="1"/>
    <s v="EN S355"/>
    <n v="57.36"/>
    <n v="1496"/>
    <n v="7.6"/>
    <n v="163.03"/>
    <n v="1216.1099999999999"/>
    <n v="198262.41"/>
    <n v="2.7400000000000001E-2"/>
    <n v="192830.02"/>
    <n v="3122.13"/>
    <n v="0.1459"/>
    <n v="28133.9"/>
    <s v="Advance"/>
    <s v="D. Chen"/>
    <s v="Synthetic sample row shaped by public steel product sales and shipment references"/>
  </r>
  <r>
    <s v="STL-2025-00084"/>
    <x v="37"/>
    <n v="2025"/>
    <x v="10"/>
    <s v="Q3"/>
    <x v="2"/>
    <s v="Qatar"/>
    <s v="Domestic distributor"/>
    <x v="7"/>
    <s v="Construction"/>
    <x v="3"/>
    <x v="3"/>
    <s v="API 5L"/>
    <n v="6.95"/>
    <n v="506"/>
    <n v="11.9"/>
    <n v="50.02"/>
    <n v="1188.2"/>
    <n v="59433.760000000002"/>
    <n v="4.4900000000000002E-2"/>
    <n v="56765.18"/>
    <n v="1733.79"/>
    <n v="0.17949999999999999"/>
    <n v="10189.35"/>
    <s v="Advance"/>
    <s v="K. Wilson"/>
    <s v="Synthetic sample row shaped by public steel product sales and shipment references"/>
  </r>
  <r>
    <s v="STL-2025-00092"/>
    <x v="3"/>
    <n v="2025"/>
    <x v="3"/>
    <s v="Q2"/>
    <x v="4"/>
    <s v="Thailand"/>
    <s v="Export distributor"/>
    <x v="5"/>
    <s v="Construction"/>
    <x v="3"/>
    <x v="3"/>
    <s v="JIS G3444"/>
    <n v="11.38"/>
    <n v="207"/>
    <n v="11.2"/>
    <n v="133.03"/>
    <n v="1269.93"/>
    <n v="168938.79"/>
    <n v="3.49E-2"/>
    <n v="163042.82999999999"/>
    <n v="8469.36"/>
    <n v="0.155"/>
    <n v="25271.64"/>
    <s v="Net 30"/>
    <s v="F. Haddad"/>
    <s v="Synthetic sample row shaped by public steel product sales and shipment references"/>
  </r>
  <r>
    <s v="STL-2025-00093"/>
    <x v="38"/>
    <n v="2025"/>
    <x v="0"/>
    <s v="Q3"/>
    <x v="3"/>
    <s v="United States"/>
    <s v="Domestic distributor"/>
    <x v="4"/>
    <s v="Infrastructure"/>
    <x v="3"/>
    <x v="3"/>
    <s v="API 5L"/>
    <n v="3.02"/>
    <n v="460"/>
    <n v="5.0999999999999996"/>
    <n v="60.79"/>
    <n v="1274.1600000000001"/>
    <n v="77456.19"/>
    <n v="4.8000000000000001E-2"/>
    <n v="73738.289999999994"/>
    <n v="2233.2800000000002"/>
    <n v="0.247"/>
    <n v="18213.36"/>
    <s v="Net 30"/>
    <s v="D. Chen"/>
    <s v="Synthetic sample row shaped by public steel product sales and shipment references"/>
  </r>
  <r>
    <s v="STL-2025-00099"/>
    <x v="39"/>
    <n v="2025"/>
    <x v="9"/>
    <s v="Q1"/>
    <x v="2"/>
    <s v="UAE"/>
    <s v="Export direct"/>
    <x v="1"/>
    <s v="Energy"/>
    <x v="2"/>
    <x v="2"/>
    <s v="API L80"/>
    <n v="10.93"/>
    <n v="73"/>
    <n v="6.7"/>
    <n v="70.73"/>
    <n v="1589.93"/>
    <n v="112455.75"/>
    <n v="6.08E-2"/>
    <n v="105618.44"/>
    <n v="5107.18"/>
    <n v="0.17580000000000001"/>
    <n v="18567.72"/>
    <s v="Net 45"/>
    <s v="A. Mehta"/>
    <s v="Synthetic sample row shaped by public steel product sales and shipment references"/>
  </r>
  <r>
    <s v="STL-2024-00102"/>
    <x v="40"/>
    <n v="2024"/>
    <x v="2"/>
    <s v="Q1"/>
    <x v="1"/>
    <s v="Italy"/>
    <s v="Export direct"/>
    <x v="6"/>
    <s v="Shipbuilding"/>
    <x v="1"/>
    <x v="1"/>
    <s v="EN S355"/>
    <n v="49.9"/>
    <n v="2106"/>
    <n v="3.1"/>
    <n v="218.43"/>
    <n v="1253.95"/>
    <n v="273900.3"/>
    <n v="5.1499999999999997E-2"/>
    <n v="259794.43"/>
    <n v="12976.6"/>
    <n v="0.21659999999999999"/>
    <n v="56271.47"/>
    <s v="Net 45"/>
    <s v="N. Sharma"/>
    <s v="Synthetic sample row shaped by public steel product sales and shipment references"/>
  </r>
  <r>
    <s v="STL-2025-00108"/>
    <x v="41"/>
    <n v="2025"/>
    <x v="3"/>
    <s v="Q2"/>
    <x v="5"/>
    <s v="Sri Lanka"/>
    <s v="Domestic direct"/>
    <x v="3"/>
    <s v="Energy"/>
    <x v="3"/>
    <x v="3"/>
    <s v="ASTM A53"/>
    <n v="6.16"/>
    <n v="446"/>
    <n v="5.5"/>
    <n v="27.21"/>
    <n v="1235.7"/>
    <n v="33623.4"/>
    <n v="4.24E-2"/>
    <n v="32197.77"/>
    <n v="804.98"/>
    <n v="0.161"/>
    <n v="5183.84"/>
    <s v="LC at sight"/>
    <s v="R. Iyer"/>
    <s v="Synthetic sample row shaped by public steel product sales and shipment references"/>
  </r>
  <r>
    <s v="STL-2025-00109"/>
    <x v="42"/>
    <n v="2025"/>
    <x v="10"/>
    <s v="Q3"/>
    <x v="4"/>
    <s v="Indonesia"/>
    <s v="Export direct"/>
    <x v="0"/>
    <s v="Energy"/>
    <x v="2"/>
    <x v="2"/>
    <s v="API L80"/>
    <n v="7.6"/>
    <n v="332"/>
    <n v="3.2"/>
    <n v="127.09"/>
    <n v="1529.02"/>
    <n v="194323.15"/>
    <n v="3.2199999999999999E-2"/>
    <n v="188065.94"/>
    <n v="9156.68"/>
    <n v="0.2611"/>
    <n v="49104.02"/>
    <s v="Net 45"/>
    <s v="D. Chen"/>
    <s v="Synthetic sample row shaped by public steel product sales and shipment references"/>
  </r>
  <r>
    <s v="STL-2025-00113"/>
    <x v="43"/>
    <n v="2025"/>
    <x v="9"/>
    <s v="Q1"/>
    <x v="1"/>
    <s v="Spain"/>
    <s v="Domestic direct"/>
    <x v="6"/>
    <s v="Construction"/>
    <x v="0"/>
    <x v="0"/>
    <s v="IS 1786"/>
    <n v="37.909999999999997"/>
    <n v="25"/>
    <n v="9.8000000000000007"/>
    <n v="72.349999999999994"/>
    <n v="783.02"/>
    <n v="56651.5"/>
    <n v="1.89E-2"/>
    <n v="55580.79"/>
    <n v="1316.98"/>
    <n v="0.14230000000000001"/>
    <n v="7909.15"/>
    <s v="LC at sight"/>
    <s v="K. Wilson"/>
    <s v="Synthetic sample row shaped by public steel product sales and shipment references"/>
  </r>
  <r>
    <s v="STL-2025-00117"/>
    <x v="44"/>
    <n v="2025"/>
    <x v="2"/>
    <s v="Q1"/>
    <x v="6"/>
    <s v="Kenya"/>
    <s v="Domestic distributor"/>
    <x v="1"/>
    <s v="Shipbuilding"/>
    <x v="1"/>
    <x v="1"/>
    <s v="ASTM A572"/>
    <n v="55.15"/>
    <n v="1801"/>
    <n v="4.3"/>
    <n v="21.76"/>
    <n v="1170.04"/>
    <n v="25460.07"/>
    <n v="4.07E-2"/>
    <n v="24423.85"/>
    <n v="658.75"/>
    <n v="0.15110000000000001"/>
    <n v="3690.44"/>
    <s v="Net 15"/>
    <s v="N. Sharma"/>
    <s v="Synthetic sample row shaped by public steel product sales and shipment references"/>
  </r>
  <r>
    <s v="STL-2024-00118"/>
    <x v="45"/>
    <n v="2024"/>
    <x v="3"/>
    <s v="Q2"/>
    <x v="5"/>
    <s v="Bangladesh"/>
    <s v="Export distributor"/>
    <x v="2"/>
    <s v="Construction"/>
    <x v="0"/>
    <x v="0"/>
    <s v="IS 1786"/>
    <n v="38.17"/>
    <n v="37"/>
    <n v="5.6"/>
    <n v="524.58000000000004"/>
    <n v="757.69"/>
    <n v="397469.02"/>
    <n v="3.32E-2"/>
    <n v="384273.05"/>
    <n v="37948.42"/>
    <n v="0.1183"/>
    <n v="45459.5"/>
    <s v="Net 45"/>
    <s v="S. Kapoor"/>
    <s v="Synthetic sample row shaped by public steel product sales and shipment references"/>
  </r>
  <r>
    <s v="STL-2024-00119"/>
    <x v="46"/>
    <n v="2024"/>
    <x v="0"/>
    <s v="Q3"/>
    <x v="4"/>
    <s v="Vietnam"/>
    <s v="Export direct"/>
    <x v="2"/>
    <s v="Construction"/>
    <x v="0"/>
    <x v="0"/>
    <s v="B500B"/>
    <n v="8.31"/>
    <n v="19"/>
    <n v="9.8000000000000007"/>
    <n v="670.12"/>
    <n v="714.28"/>
    <n v="478653.31"/>
    <n v="6.6799999999999998E-2"/>
    <n v="446679.27"/>
    <n v="41241.81"/>
    <n v="0.15440000000000001"/>
    <n v="68967.28"/>
    <s v="LC at sight"/>
    <s v="A. Mehta"/>
    <s v="Synthetic sample row shaped by public steel product sales and shipment references"/>
  </r>
  <r>
    <s v="STL-2025-00121"/>
    <x v="47"/>
    <n v="2025"/>
    <x v="3"/>
    <s v="Q2"/>
    <x v="3"/>
    <s v="United States"/>
    <s v="Domestic distributor"/>
    <x v="4"/>
    <s v="Infrastructure"/>
    <x v="3"/>
    <x v="3"/>
    <s v="API 5L"/>
    <n v="10.36"/>
    <n v="478"/>
    <n v="7.8"/>
    <n v="8.34"/>
    <n v="1347.98"/>
    <n v="11242.15"/>
    <n v="3.7699999999999997E-2"/>
    <n v="10818.32"/>
    <n v="161.36000000000001"/>
    <n v="0.20810000000000001"/>
    <n v="2251.29"/>
    <s v="Net 45"/>
    <s v="R. Iyer"/>
    <s v="Synthetic sample row shaped by public steel product sales and shipment references"/>
  </r>
  <r>
    <s v="STL-2024-00124"/>
    <x v="48"/>
    <n v="2024"/>
    <x v="9"/>
    <s v="Q1"/>
    <x v="4"/>
    <s v="Vietnam"/>
    <s v="Domestic direct"/>
    <x v="4"/>
    <s v="Energy"/>
    <x v="3"/>
    <x v="3"/>
    <s v="JIS G3444"/>
    <n v="4.57"/>
    <n v="197"/>
    <n v="6.6"/>
    <n v="22.16"/>
    <n v="1049.53"/>
    <n v="23257.58"/>
    <n v="1.4500000000000001E-2"/>
    <n v="22920.35"/>
    <n v="856.06"/>
    <n v="0.19359999999999999"/>
    <n v="4437.38"/>
    <s v="Net 15"/>
    <s v="R. Iyer"/>
    <s v="Synthetic sample row shaped by public steel product sales and shipment references"/>
  </r>
  <r>
    <s v="STL-2025-00126"/>
    <x v="49"/>
    <n v="2025"/>
    <x v="7"/>
    <s v="Q4"/>
    <x v="3"/>
    <s v="United States"/>
    <s v="Domestic distributor"/>
    <x v="1"/>
    <s v="Energy"/>
    <x v="3"/>
    <x v="3"/>
    <s v="API 5L"/>
    <n v="7.83"/>
    <n v="138"/>
    <n v="4.5"/>
    <n v="152.66"/>
    <n v="1217.3399999999999"/>
    <n v="185839.12"/>
    <n v="5.0200000000000002E-2"/>
    <n v="176510"/>
    <n v="6320.29"/>
    <n v="0.24579999999999999"/>
    <n v="43386.16"/>
    <s v="Net 15"/>
    <s v="A. Mehta"/>
    <s v="Synthetic sample row shaped by public steel product sales and shipment references"/>
  </r>
  <r>
    <s v="STL-2024-00130"/>
    <x v="50"/>
    <n v="2024"/>
    <x v="3"/>
    <s v="Q2"/>
    <x v="0"/>
    <s v="South Korea"/>
    <s v="Domestic direct"/>
    <x v="0"/>
    <s v="Industrial machinery"/>
    <x v="1"/>
    <x v="1"/>
    <s v="ASTM A572"/>
    <n v="25.05"/>
    <n v="1652"/>
    <n v="5.0999999999999996"/>
    <n v="125.03"/>
    <n v="1135.3699999999999"/>
    <n v="141955.31"/>
    <n v="2.5399999999999999E-2"/>
    <n v="138349.65"/>
    <n v="4426.63"/>
    <n v="0.17280000000000001"/>
    <n v="23906.82"/>
    <s v="Advance"/>
    <s v="R. Iyer"/>
    <s v="Synthetic sample row shaped by public steel product sales and shipment references"/>
  </r>
  <r>
    <s v="STL-2024-00131"/>
    <x v="51"/>
    <n v="2024"/>
    <x v="2"/>
    <s v="Q1"/>
    <x v="1"/>
    <s v="Poland"/>
    <s v="Domestic distributor"/>
    <x v="2"/>
    <s v="Shipbuilding"/>
    <x v="1"/>
    <x v="1"/>
    <s v="EN S355"/>
    <n v="21.32"/>
    <n v="3082"/>
    <n v="4.8"/>
    <n v="101.15"/>
    <n v="1250.1500000000001"/>
    <n v="126452.67"/>
    <n v="1.2500000000000001E-2"/>
    <n v="124872.01"/>
    <n v="2318.7800000000002"/>
    <n v="0.1414"/>
    <n v="17656.900000000001"/>
    <s v="Net 15"/>
    <s v="K. Wilson"/>
    <s v="Synthetic sample row shaped by public steel product sales and shipment references"/>
  </r>
  <r>
    <s v="STL-2025-00137"/>
    <x v="37"/>
    <n v="2025"/>
    <x v="10"/>
    <s v="Q3"/>
    <x v="6"/>
    <s v="Egypt"/>
    <s v="Export direct"/>
    <x v="6"/>
    <s v="Energy"/>
    <x v="1"/>
    <x v="1"/>
    <s v="JIS SM490"/>
    <n v="52.71"/>
    <n v="2819"/>
    <n v="8"/>
    <n v="87.58"/>
    <n v="1031.8499999999999"/>
    <n v="90369.42"/>
    <n v="2.92E-2"/>
    <n v="87730.63"/>
    <n v="7335.91"/>
    <n v="0.24129999999999999"/>
    <n v="21169.4"/>
    <s v="Net 30"/>
    <s v="R. Iyer"/>
    <s v="Synthetic sample row shaped by public steel product sales and shipment references"/>
  </r>
  <r>
    <s v="STL-2025-00139"/>
    <x v="52"/>
    <n v="2025"/>
    <x v="3"/>
    <s v="Q2"/>
    <x v="1"/>
    <s v="Spain"/>
    <s v="Domestic distributor"/>
    <x v="5"/>
    <s v="Energy"/>
    <x v="2"/>
    <x v="2"/>
    <s v="API J55"/>
    <n v="17.239999999999998"/>
    <n v="159"/>
    <n v="9.8000000000000007"/>
    <n v="94.13"/>
    <n v="1636.79"/>
    <n v="154071.04000000001"/>
    <n v="1.6400000000000001E-2"/>
    <n v="151544.26999999999"/>
    <n v="2917.43"/>
    <n v="0.28799999999999998"/>
    <n v="43644.75"/>
    <s v="Net 45"/>
    <s v="S. Kapoor"/>
    <s v="Synthetic sample row shaped by public steel product sales and shipment references"/>
  </r>
  <r>
    <s v="STL-2024-00141"/>
    <x v="53"/>
    <n v="2024"/>
    <x v="9"/>
    <s v="Q1"/>
    <x v="4"/>
    <s v="Malaysia"/>
    <s v="Export distributor"/>
    <x v="3"/>
    <s v="Construction"/>
    <x v="3"/>
    <x v="3"/>
    <s v="API 5L"/>
    <n v="8.01"/>
    <n v="306"/>
    <n v="3"/>
    <n v="44.28"/>
    <n v="1054.68"/>
    <n v="46701.23"/>
    <n v="3.8399999999999997E-2"/>
    <n v="44907.9"/>
    <n v="2473.88"/>
    <n v="0.10630000000000001"/>
    <n v="4773.71"/>
    <s v="Net 45"/>
    <s v="R. Iyer"/>
    <s v="Synthetic sample row shaped by public steel product sales and shipment references"/>
  </r>
  <r>
    <s v="STL-2025-00144"/>
    <x v="54"/>
    <n v="2025"/>
    <x v="5"/>
    <s v="Q4"/>
    <x v="6"/>
    <s v="Kenya"/>
    <s v="Export direct"/>
    <x v="5"/>
    <s v="Energy"/>
    <x v="2"/>
    <x v="2"/>
    <s v="API P110"/>
    <n v="7.03"/>
    <n v="167"/>
    <n v="7.4"/>
    <n v="206.19"/>
    <n v="1507.64"/>
    <n v="310860.28999999998"/>
    <n v="4.0599999999999997E-2"/>
    <n v="298239.35999999999"/>
    <n v="11845.36"/>
    <n v="0.19600000000000001"/>
    <n v="58454.91"/>
    <s v="Net 15"/>
    <s v="R. Iyer"/>
    <s v="Synthetic sample row shaped by public steel product sales and shipment references"/>
  </r>
  <r>
    <s v="STL-2024-00145"/>
    <x v="55"/>
    <n v="2024"/>
    <x v="3"/>
    <s v="Q2"/>
    <x v="2"/>
    <s v="Saudi Arabia"/>
    <s v="Domestic distributor"/>
    <x v="0"/>
    <s v="Shipbuilding"/>
    <x v="1"/>
    <x v="1"/>
    <s v="JIS SM490"/>
    <n v="38.159999999999997"/>
    <n v="2054"/>
    <n v="11.2"/>
    <n v="75.25"/>
    <n v="1287.33"/>
    <n v="96871.58"/>
    <n v="4.58E-2"/>
    <n v="92434.86"/>
    <n v="1923.04"/>
    <n v="0.24929999999999999"/>
    <n v="23044.01"/>
    <s v="Net 30"/>
    <s v="F. Haddad"/>
    <s v="Synthetic sample row shaped by public steel product sales and shipment references"/>
  </r>
  <r>
    <s v="STL-2024-00146"/>
    <x v="2"/>
    <n v="2024"/>
    <x v="2"/>
    <s v="Q1"/>
    <x v="6"/>
    <s v="South Africa"/>
    <s v="Domestic direct"/>
    <x v="7"/>
    <s v="Construction"/>
    <x v="3"/>
    <x v="3"/>
    <s v="JIS G3444"/>
    <n v="11.04"/>
    <n v="441"/>
    <n v="6.5"/>
    <n v="179.69"/>
    <n v="1212.3499999999999"/>
    <n v="217847.17"/>
    <n v="3.56E-2"/>
    <n v="210091.81"/>
    <n v="3695.2"/>
    <n v="0.23569999999999999"/>
    <n v="49518.64"/>
    <s v="Advance"/>
    <s v="M. Alvarez"/>
    <s v="Synthetic sample row shaped by public steel product sales and shipment references"/>
  </r>
  <r>
    <s v="STL-2025-00155"/>
    <x v="56"/>
    <n v="2025"/>
    <x v="9"/>
    <s v="Q1"/>
    <x v="2"/>
    <s v="Saudi Arabia"/>
    <s v="Export distributor"/>
    <x v="4"/>
    <s v="Energy"/>
    <x v="2"/>
    <x v="2"/>
    <s v="API L80"/>
    <n v="17.149999999999999"/>
    <n v="130"/>
    <n v="5.2"/>
    <n v="74.62"/>
    <n v="1609.32"/>
    <n v="120087.46"/>
    <n v="3.9600000000000003E-2"/>
    <n v="115332"/>
    <n v="4676.6899999999996"/>
    <n v="0.15989999999999999"/>
    <n v="18441.59"/>
    <s v="Net 30"/>
    <s v="M. Alvarez"/>
    <s v="Synthetic sample row shaped by public steel product sales and shipment references"/>
  </r>
  <r>
    <s v="STL-2024-00156"/>
    <x v="40"/>
    <n v="2024"/>
    <x v="2"/>
    <s v="Q1"/>
    <x v="4"/>
    <s v="Malaysia"/>
    <s v="Export direct"/>
    <x v="5"/>
    <s v="Infrastructure"/>
    <x v="3"/>
    <x v="3"/>
    <s v="ASTM A53"/>
    <n v="12.61"/>
    <n v="228"/>
    <n v="4.2"/>
    <n v="59.2"/>
    <n v="1118.6300000000001"/>
    <n v="66222.899999999994"/>
    <n v="4.2500000000000003E-2"/>
    <n v="63408.43"/>
    <n v="4555.01"/>
    <n v="0.23250000000000001"/>
    <n v="14742.46"/>
    <s v="Advance"/>
    <s v="D. Chen"/>
    <s v="Synthetic sample row shaped by public steel product sales and shipment references"/>
  </r>
  <r>
    <s v="STL-2025-00159"/>
    <x v="57"/>
    <n v="2025"/>
    <x v="3"/>
    <s v="Q2"/>
    <x v="2"/>
    <s v="Saudi Arabia"/>
    <s v="Export direct"/>
    <x v="3"/>
    <s v="Energy"/>
    <x v="1"/>
    <x v="1"/>
    <s v="ASTM A516"/>
    <n v="44.89"/>
    <n v="1267"/>
    <n v="5.4"/>
    <n v="238.91"/>
    <n v="1178.78"/>
    <n v="281622.33"/>
    <n v="5.3199999999999997E-2"/>
    <n v="266640.02"/>
    <n v="13184.72"/>
    <n v="0.24640000000000001"/>
    <n v="65700.100000000006"/>
    <s v="Net 45"/>
    <s v="M. Alvarez"/>
    <s v="Synthetic sample row shaped by public steel product sales and shipment references"/>
  </r>
  <r>
    <s v="STL-2025-00162"/>
    <x v="58"/>
    <n v="2025"/>
    <x v="3"/>
    <s v="Q2"/>
    <x v="1"/>
    <s v="Italy"/>
    <s v="Export direct"/>
    <x v="5"/>
    <s v="Infrastructure"/>
    <x v="3"/>
    <x v="3"/>
    <s v="EN 10219"/>
    <n v="11.71"/>
    <n v="577"/>
    <n v="3.5"/>
    <n v="123.12"/>
    <n v="1292.55"/>
    <n v="159138.76"/>
    <n v="1.9E-2"/>
    <n v="156115.12"/>
    <n v="11004.4"/>
    <n v="0.20910000000000001"/>
    <n v="32643.67"/>
    <s v="Net 30"/>
    <s v="D. Chen"/>
    <s v="Synthetic sample row shaped by public steel product sales and shipment references"/>
  </r>
  <r>
    <s v="STL-2025-00167"/>
    <x v="59"/>
    <n v="2025"/>
    <x v="4"/>
    <s v="Q2"/>
    <x v="6"/>
    <s v="South Africa"/>
    <s v="Domestic direct"/>
    <x v="4"/>
    <s v="Infrastructure"/>
    <x v="3"/>
    <x v="3"/>
    <s v="EN 10219"/>
    <n v="15.82"/>
    <n v="417"/>
    <n v="7.4"/>
    <n v="104.15"/>
    <n v="1143.47"/>
    <n v="119092.4"/>
    <n v="3.8800000000000001E-2"/>
    <n v="114471.61"/>
    <n v="3986.91"/>
    <n v="0.19939999999999999"/>
    <n v="22825.64"/>
    <s v="Advance"/>
    <s v="R. Iyer"/>
    <s v="Synthetic sample row shaped by public steel product sales and shipment references"/>
  </r>
  <r>
    <s v="STL-2025-00171"/>
    <x v="60"/>
    <n v="2025"/>
    <x v="9"/>
    <s v="Q1"/>
    <x v="5"/>
    <s v="India"/>
    <s v="Export distributor"/>
    <x v="1"/>
    <s v="Construction"/>
    <x v="0"/>
    <x v="0"/>
    <s v="IS 1786"/>
    <n v="29.92"/>
    <n v="29"/>
    <n v="10.199999999999999"/>
    <n v="436.2"/>
    <n v="643.16999999999996"/>
    <n v="280550.75"/>
    <n v="3.5000000000000003E-2"/>
    <n v="270731.46999999997"/>
    <n v="30511.45"/>
    <n v="0.1062"/>
    <n v="28751.68"/>
    <s v="Net 30"/>
    <s v="M. Alvarez"/>
    <s v="Synthetic sample row shaped by public steel product sales and shipment references"/>
  </r>
  <r>
    <s v="STL-2024-00172"/>
    <x v="61"/>
    <n v="2024"/>
    <x v="0"/>
    <s v="Q3"/>
    <x v="1"/>
    <s v="Germany"/>
    <s v="Domestic direct"/>
    <x v="5"/>
    <s v="Infrastructure"/>
    <x v="3"/>
    <x v="3"/>
    <s v="API 5L"/>
    <n v="11.62"/>
    <n v="87"/>
    <n v="9"/>
    <n v="109.94"/>
    <n v="1110.01"/>
    <n v="122034.5"/>
    <n v="2.2800000000000001E-2"/>
    <n v="119252.11"/>
    <n v="3799.24"/>
    <n v="0.1774"/>
    <n v="21155.32"/>
    <s v="Net 45"/>
    <s v="A. Mehta"/>
    <s v="Synthetic sample row shaped by public steel product sales and shipment references"/>
  </r>
  <r>
    <s v="STL-2024-00174"/>
    <x v="62"/>
    <n v="2024"/>
    <x v="8"/>
    <s v="Q1"/>
    <x v="6"/>
    <s v="Kenya"/>
    <s v="Export direct"/>
    <x v="4"/>
    <s v="Energy"/>
    <x v="1"/>
    <x v="1"/>
    <s v="JIS SM490"/>
    <n v="65.260000000000005"/>
    <n v="1956"/>
    <n v="5.5"/>
    <n v="161.46"/>
    <n v="1140.2"/>
    <n v="184096.69"/>
    <n v="3.1300000000000001E-2"/>
    <n v="178334.46"/>
    <n v="14004.93"/>
    <n v="0.21779999999999999"/>
    <n v="38841.25"/>
    <s v="Net 30"/>
    <s v="R. Iyer"/>
    <s v="Synthetic sample row shaped by public steel product sales and shipment references"/>
  </r>
  <r>
    <s v="STL-2025-00178"/>
    <x v="63"/>
    <n v="2025"/>
    <x v="7"/>
    <s v="Q4"/>
    <x v="5"/>
    <s v="Sri Lanka"/>
    <s v="Export distributor"/>
    <x v="1"/>
    <s v="Infrastructure"/>
    <x v="0"/>
    <x v="0"/>
    <s v="ASTM A615"/>
    <n v="26.49"/>
    <n v="33"/>
    <n v="10"/>
    <n v="514.91"/>
    <n v="668.52"/>
    <n v="344227.63"/>
    <n v="7.3499999999999996E-2"/>
    <n v="318926.90000000002"/>
    <n v="34029.06"/>
    <n v="0.18240000000000001"/>
    <n v="58172.27"/>
    <s v="LC at sight"/>
    <s v="K. Wilson"/>
    <s v="Synthetic sample row shaped by public steel product sales and shipment references"/>
  </r>
  <r>
    <s v="STL-2024-00180"/>
    <x v="64"/>
    <n v="2024"/>
    <x v="7"/>
    <s v="Q4"/>
    <x v="4"/>
    <s v="Indonesia"/>
    <s v="Export direct"/>
    <x v="5"/>
    <s v="Infrastructure"/>
    <x v="0"/>
    <x v="0"/>
    <s v="IS 1786"/>
    <n v="13"/>
    <n v="32"/>
    <n v="11.4"/>
    <n v="615"/>
    <n v="713.15"/>
    <n v="438587.25"/>
    <n v="4.1700000000000001E-2"/>
    <n v="420298.16"/>
    <n v="54493.06"/>
    <n v="0.1139"/>
    <n v="47871.96"/>
    <s v="LC at sight"/>
    <s v="F. Haddad"/>
    <s v="Synthetic sample row shaped by public steel product sales and shipment references"/>
  </r>
  <r>
    <s v="STL-2024-00187"/>
    <x v="36"/>
    <n v="2024"/>
    <x v="1"/>
    <s v="Q2"/>
    <x v="1"/>
    <s v="Italy"/>
    <s v="Export direct"/>
    <x v="0"/>
    <s v="Construction"/>
    <x v="0"/>
    <x v="0"/>
    <s v="B500B"/>
    <n v="39.96"/>
    <n v="20"/>
    <n v="9.1"/>
    <n v="716.68"/>
    <n v="864.16"/>
    <n v="619326.18999999994"/>
    <n v="5.7299999999999997E-2"/>
    <n v="583838.80000000005"/>
    <n v="57001.52"/>
    <n v="0.1744"/>
    <n v="101821.49"/>
    <s v="Net 45"/>
    <s v="K. Wilson"/>
    <s v="Synthetic sample row shaped by public steel product sales and shipment references"/>
  </r>
  <r>
    <s v="STL-2024-00189"/>
    <x v="14"/>
    <n v="2024"/>
    <x v="7"/>
    <s v="Q4"/>
    <x v="5"/>
    <s v="Sri Lanka"/>
    <s v="Domestic distributor"/>
    <x v="4"/>
    <s v="Infrastructure"/>
    <x v="0"/>
    <x v="0"/>
    <s v="ASTM A615"/>
    <n v="35.26"/>
    <n v="18"/>
    <n v="3.4"/>
    <n v="387.05"/>
    <n v="749.25"/>
    <n v="289997.21000000002"/>
    <n v="5.1700000000000003E-2"/>
    <n v="275004.34999999998"/>
    <n v="15332.71"/>
    <n v="0.217"/>
    <n v="59675.94"/>
    <s v="LC at sight"/>
    <s v="R. Iyer"/>
    <s v="Synthetic sample row shaped by public steel product sales and shipment references"/>
  </r>
  <r>
    <s v="STL-2024-00195"/>
    <x v="65"/>
    <n v="2024"/>
    <x v="0"/>
    <s v="Q3"/>
    <x v="0"/>
    <s v="South Korea"/>
    <s v="Export direct"/>
    <x v="0"/>
    <s v="Infrastructure"/>
    <x v="3"/>
    <x v="3"/>
    <s v="JIS G3444"/>
    <n v="11.16"/>
    <n v="106"/>
    <n v="5.8"/>
    <n v="160.12"/>
    <n v="1202.45"/>
    <n v="192536.29"/>
    <n v="2.3300000000000001E-2"/>
    <n v="188050.19"/>
    <n v="8735.99"/>
    <n v="0.22819999999999999"/>
    <n v="42913.05"/>
    <s v="Net 45"/>
    <s v="D. Chen"/>
    <s v="Synthetic sample row shaped by public steel product sales and shipment references"/>
  </r>
  <r>
    <s v="STL-2025-00200"/>
    <x v="66"/>
    <n v="2025"/>
    <x v="3"/>
    <s v="Q2"/>
    <x v="0"/>
    <s v="Taiwan"/>
    <s v="Export distributor"/>
    <x v="4"/>
    <s v="Construction"/>
    <x v="3"/>
    <x v="3"/>
    <s v="JIS G3444"/>
    <n v="7.74"/>
    <n v="156"/>
    <n v="11"/>
    <n v="35.909999999999997"/>
    <n v="1250.43"/>
    <n v="44902.94"/>
    <n v="5.0700000000000002E-2"/>
    <n v="42626.36"/>
    <n v="2190.7199999999998"/>
    <n v="0.185"/>
    <n v="7885.88"/>
    <s v="LC at sight"/>
    <s v="R. Iyer"/>
    <s v="Synthetic sample row shaped by public steel product sales and shipment references"/>
  </r>
  <r>
    <s v="STL-2024-00201"/>
    <x v="67"/>
    <n v="2024"/>
    <x v="6"/>
    <s v="Q3"/>
    <x v="5"/>
    <s v="India"/>
    <s v="Export distributor"/>
    <x v="1"/>
    <s v="Construction"/>
    <x v="0"/>
    <x v="0"/>
    <s v="ASTM A615"/>
    <n v="8.39"/>
    <n v="17"/>
    <n v="4.0999999999999996"/>
    <n v="54.28"/>
    <n v="650"/>
    <n v="35282"/>
    <n v="6.2199999999999998E-2"/>
    <n v="33087.46"/>
    <n v="5034.21"/>
    <n v="0.1913"/>
    <n v="6329.63"/>
    <s v="Net 15"/>
    <s v="M. Alvarez"/>
    <s v="Synthetic sample row shaped by public steel product sales and shipment references"/>
  </r>
  <r>
    <s v="STL-2024-00202"/>
    <x v="68"/>
    <n v="2024"/>
    <x v="10"/>
    <s v="Q3"/>
    <x v="2"/>
    <s v="Saudi Arabia"/>
    <s v="Export direct"/>
    <x v="1"/>
    <s v="Infrastructure"/>
    <x v="0"/>
    <x v="0"/>
    <s v="B500B"/>
    <n v="31.08"/>
    <n v="27"/>
    <n v="9.8000000000000007"/>
    <n v="148.46"/>
    <n v="836.25"/>
    <n v="124149.68"/>
    <n v="3.6299999999999999E-2"/>
    <n v="119643.05"/>
    <n v="12566.82"/>
    <n v="0.217"/>
    <n v="25962.54"/>
    <s v="Net 45"/>
    <s v="D. Chen"/>
    <s v="Synthetic sample row shaped by public steel product sales and shipment references"/>
  </r>
  <r>
    <s v="STL-2024-00207"/>
    <x v="69"/>
    <n v="2024"/>
    <x v="7"/>
    <s v="Q4"/>
    <x v="1"/>
    <s v="Italy"/>
    <s v="Export direct"/>
    <x v="0"/>
    <s v="Energy"/>
    <x v="1"/>
    <x v="1"/>
    <s v="ASTM A516"/>
    <n v="12.12"/>
    <n v="3168"/>
    <n v="8.3000000000000007"/>
    <n v="123.29"/>
    <n v="1223.07"/>
    <n v="150792.29999999999"/>
    <n v="2.8299999999999999E-2"/>
    <n v="146524.88"/>
    <n v="9549.18"/>
    <n v="0.24660000000000001"/>
    <n v="36133.040000000001"/>
    <s v="Net 45"/>
    <s v="N. Sharma"/>
    <s v="Synthetic sample row shaped by public steel product sales and shipment references"/>
  </r>
  <r>
    <s v="STL-2024-00209"/>
    <x v="70"/>
    <n v="2024"/>
    <x v="8"/>
    <s v="Q1"/>
    <x v="2"/>
    <s v="Qatar"/>
    <s v="Domestic distributor"/>
    <x v="7"/>
    <s v="Energy"/>
    <x v="3"/>
    <x v="3"/>
    <s v="EN 10219"/>
    <n v="7.16"/>
    <n v="516"/>
    <n v="4.5999999999999996"/>
    <n v="14.95"/>
    <n v="1246.19"/>
    <n v="18630.54"/>
    <n v="4.9599999999999998E-2"/>
    <n v="17706.47"/>
    <n v="447.53"/>
    <n v="0.1123"/>
    <n v="1988.44"/>
    <s v="Advance"/>
    <s v="S. Kapoor"/>
    <s v="Synthetic sample row shaped by public steel product sales and shipment references"/>
  </r>
  <r>
    <s v="STL-2025-00211"/>
    <x v="71"/>
    <n v="2025"/>
    <x v="7"/>
    <s v="Q4"/>
    <x v="6"/>
    <s v="Egypt"/>
    <s v="Domestic direct"/>
    <x v="0"/>
    <s v="Energy"/>
    <x v="2"/>
    <x v="2"/>
    <s v="API J55"/>
    <n v="5.69"/>
    <n v="204"/>
    <n v="7.2"/>
    <n v="48.16"/>
    <n v="1580.73"/>
    <n v="76127.960000000006"/>
    <n v="5.1999999999999998E-2"/>
    <n v="72169.31"/>
    <n v="1466.37"/>
    <n v="0.29749999999999999"/>
    <n v="21470.37"/>
    <s v="Net 45"/>
    <s v="A. Mehta"/>
    <s v="Synthetic sample row shaped by public steel product sales and shipment references"/>
  </r>
  <r>
    <s v="STL-2025-00216"/>
    <x v="72"/>
    <n v="2025"/>
    <x v="11"/>
    <s v="Q4"/>
    <x v="2"/>
    <s v="Qatar"/>
    <s v="Domestic direct"/>
    <x v="1"/>
    <s v="Energy"/>
    <x v="2"/>
    <x v="2"/>
    <s v="API J55"/>
    <n v="12.82"/>
    <n v="215"/>
    <n v="4.8"/>
    <n v="52.34"/>
    <n v="1589.22"/>
    <n v="83179.77"/>
    <n v="4.65E-2"/>
    <n v="79311.91"/>
    <n v="1846.14"/>
    <n v="0.30180000000000001"/>
    <n v="23936.33"/>
    <s v="Net 45"/>
    <s v="F. Haddad"/>
    <s v="Synthetic sample row shaped by public steel product sales and shipment references"/>
  </r>
  <r>
    <s v="STL-2025-00221"/>
    <x v="38"/>
    <n v="2025"/>
    <x v="0"/>
    <s v="Q3"/>
    <x v="4"/>
    <s v="Malaysia"/>
    <s v="Export distributor"/>
    <x v="1"/>
    <s v="Energy"/>
    <x v="2"/>
    <x v="2"/>
    <s v="API N80"/>
    <n v="13.6"/>
    <n v="87"/>
    <n v="8"/>
    <n v="44.74"/>
    <n v="1544.58"/>
    <n v="69104.509999999995"/>
    <n v="4.8500000000000001E-2"/>
    <n v="65752.94"/>
    <n v="3916"/>
    <n v="0.2097"/>
    <n v="13788.39"/>
    <s v="Net 15"/>
    <s v="R. Iyer"/>
    <s v="Synthetic sample row shaped by public steel product sales and shipment references"/>
  </r>
  <r>
    <s v="STL-2024-00222"/>
    <x v="73"/>
    <n v="2024"/>
    <x v="9"/>
    <s v="Q1"/>
    <x v="2"/>
    <s v="UAE"/>
    <s v="Domestic distributor"/>
    <x v="4"/>
    <s v="Shipbuilding"/>
    <x v="1"/>
    <x v="1"/>
    <s v="ASTM A572"/>
    <n v="45.09"/>
    <n v="2241"/>
    <n v="5.7"/>
    <n v="62.26"/>
    <n v="1099.97"/>
    <n v="68484.13"/>
    <n v="1.84E-2"/>
    <n v="67224.02"/>
    <n v="1681.17"/>
    <n v="0.19500000000000001"/>
    <n v="13108.68"/>
    <s v="LC at sight"/>
    <s v="D. Chen"/>
    <s v="Synthetic sample row shaped by public steel product sales and shipment references"/>
  </r>
  <r>
    <s v="STL-2024-00223"/>
    <x v="61"/>
    <n v="2024"/>
    <x v="0"/>
    <s v="Q3"/>
    <x v="5"/>
    <s v="India"/>
    <s v="Export distributor"/>
    <x v="2"/>
    <s v="Energy"/>
    <x v="3"/>
    <x v="3"/>
    <s v="EN 10219"/>
    <n v="2.93"/>
    <n v="451"/>
    <n v="11.3"/>
    <n v="174.82"/>
    <n v="1024.9000000000001"/>
    <n v="179173.02"/>
    <n v="4.65E-2"/>
    <n v="170841.47"/>
    <n v="11367.79"/>
    <n v="0.14879999999999999"/>
    <n v="25421.21"/>
    <s v="LC at sight"/>
    <s v="F. Haddad"/>
    <s v="Synthetic sample row shaped by public steel product sales and shipment references"/>
  </r>
  <r>
    <s v="STL-2024-00226"/>
    <x v="51"/>
    <n v="2024"/>
    <x v="2"/>
    <s v="Q1"/>
    <x v="3"/>
    <s v="United States"/>
    <s v="Export distributor"/>
    <x v="0"/>
    <s v="Industrial machinery"/>
    <x v="1"/>
    <x v="1"/>
    <s v="EN S355"/>
    <n v="47.58"/>
    <n v="1876"/>
    <n v="4.9000000000000004"/>
    <n v="149.54"/>
    <n v="1234.3599999999999"/>
    <n v="184586.19"/>
    <n v="4.0399999999999998E-2"/>
    <n v="177128.91"/>
    <n v="8354.4500000000007"/>
    <n v="0.2409"/>
    <n v="42670.35"/>
    <s v="Net 15"/>
    <s v="R. Iyer"/>
    <s v="Synthetic sample row shaped by public steel product sales and shipment references"/>
  </r>
  <r>
    <s v="STL-2025-00229"/>
    <x v="20"/>
    <n v="2025"/>
    <x v="1"/>
    <s v="Q2"/>
    <x v="2"/>
    <s v="Qatar"/>
    <s v="Domestic distributor"/>
    <x v="2"/>
    <s v="Construction"/>
    <x v="3"/>
    <x v="3"/>
    <s v="JIS G3444"/>
    <n v="8.51"/>
    <n v="150"/>
    <n v="9.5"/>
    <n v="165.57"/>
    <n v="1238.9100000000001"/>
    <n v="205126.33"/>
    <n v="3.1800000000000002E-2"/>
    <n v="198603.31"/>
    <n v="6847.97"/>
    <n v="0.24010000000000001"/>
    <n v="47684.65"/>
    <s v="Net 15"/>
    <s v="K. Wilson"/>
    <s v="Synthetic sample row shaped by public steel product sales and shipment references"/>
  </r>
  <r>
    <s v="STL-2024-00232"/>
    <x v="74"/>
    <n v="2024"/>
    <x v="1"/>
    <s v="Q2"/>
    <x v="3"/>
    <s v="Canada"/>
    <s v="Domestic direct"/>
    <x v="2"/>
    <s v="Industrial machinery"/>
    <x v="1"/>
    <x v="1"/>
    <s v="EN S355"/>
    <n v="14.58"/>
    <n v="2848"/>
    <n v="9.3000000000000007"/>
    <n v="32.03"/>
    <n v="1198.55"/>
    <n v="38389.56"/>
    <n v="5.0700000000000002E-2"/>
    <n v="36443.21"/>
    <n v="763.52"/>
    <n v="0.15970000000000001"/>
    <n v="5819.98"/>
    <s v="Net 30"/>
    <s v="D. Chen"/>
    <s v="Synthetic sample row shaped by public steel product sales and shipment references"/>
  </r>
  <r>
    <s v="STL-2025-00234"/>
    <x v="75"/>
    <n v="2025"/>
    <x v="10"/>
    <s v="Q3"/>
    <x v="2"/>
    <s v="Qatar"/>
    <s v="Domestic distributor"/>
    <x v="5"/>
    <s v="Energy"/>
    <x v="2"/>
    <x v="2"/>
    <s v="API L80"/>
    <n v="7.03"/>
    <n v="305"/>
    <n v="8.3000000000000007"/>
    <n v="120.68"/>
    <n v="1613.64"/>
    <n v="194734.07999999999"/>
    <n v="5.1700000000000003E-2"/>
    <n v="184666.33"/>
    <n v="4498.17"/>
    <n v="0.27979999999999999"/>
    <n v="51669.64"/>
    <s v="Advance"/>
    <s v="A. Mehta"/>
    <s v="Synthetic sample row shaped by public steel product sales and shipment references"/>
  </r>
  <r>
    <s v="STL-2024-00236"/>
    <x v="50"/>
    <n v="2024"/>
    <x v="3"/>
    <s v="Q2"/>
    <x v="2"/>
    <s v="UAE"/>
    <s v="Domestic direct"/>
    <x v="3"/>
    <s v="Infrastructure"/>
    <x v="3"/>
    <x v="3"/>
    <s v="JIS G3444"/>
    <n v="5.12"/>
    <n v="222"/>
    <n v="10.5"/>
    <n v="133.09"/>
    <n v="1396.57"/>
    <n v="185869.5"/>
    <n v="5.5599999999999997E-2"/>
    <n v="175535.16"/>
    <n v="5321.76"/>
    <n v="0.1464"/>
    <n v="25698.35"/>
    <s v="Net 15"/>
    <s v="A. Mehta"/>
    <s v="Synthetic sample row shaped by public steel product sales and shipment references"/>
  </r>
  <r>
    <s v="STL-2024-00238"/>
    <x v="76"/>
    <n v="2024"/>
    <x v="3"/>
    <s v="Q2"/>
    <x v="4"/>
    <s v="Thailand"/>
    <s v="Export distributor"/>
    <x v="7"/>
    <s v="Infrastructure"/>
    <x v="0"/>
    <x v="0"/>
    <s v="BS 4449"/>
    <n v="20.65"/>
    <n v="16"/>
    <n v="6.1"/>
    <n v="271.02999999999997"/>
    <n v="796.92"/>
    <n v="215989.23"/>
    <n v="6.5000000000000002E-2"/>
    <n v="201949.93"/>
    <n v="20005.36"/>
    <n v="0.1457"/>
    <n v="29424.1"/>
    <s v="LC at sight"/>
    <s v="A. Mehta"/>
    <s v="Synthetic sample row shaped by public steel product sales and shipment references"/>
  </r>
  <r>
    <s v="STL-2025-00241"/>
    <x v="77"/>
    <n v="2025"/>
    <x v="10"/>
    <s v="Q3"/>
    <x v="4"/>
    <s v="Malaysia"/>
    <s v="Export distributor"/>
    <x v="5"/>
    <s v="Energy"/>
    <x v="2"/>
    <x v="2"/>
    <s v="API L80"/>
    <n v="5.23"/>
    <n v="242"/>
    <n v="11.8"/>
    <n v="124.73"/>
    <n v="1436.73"/>
    <n v="179203.33"/>
    <n v="5.5199999999999999E-2"/>
    <n v="169311.31"/>
    <n v="10617.28"/>
    <n v="0.27100000000000002"/>
    <n v="45883.37"/>
    <s v="Advance"/>
    <s v="S. Kapoor"/>
    <s v="Synthetic sample row shaped by public steel product sales and shipment references"/>
  </r>
  <r>
    <s v="STL-2024-00243"/>
    <x v="78"/>
    <n v="2024"/>
    <x v="5"/>
    <s v="Q4"/>
    <x v="6"/>
    <s v="Kenya"/>
    <s v="Export direct"/>
    <x v="0"/>
    <s v="Infrastructure"/>
    <x v="0"/>
    <x v="0"/>
    <s v="B500B"/>
    <n v="11.69"/>
    <n v="9"/>
    <n v="7.2"/>
    <n v="604.92999999999995"/>
    <n v="732.08"/>
    <n v="442857.15"/>
    <n v="3.8600000000000002E-2"/>
    <n v="425762.86"/>
    <n v="56483.91"/>
    <n v="0.2198"/>
    <n v="93582.68"/>
    <s v="Net 45"/>
    <s v="F. Haddad"/>
    <s v="Synthetic sample row shaped by public steel product sales and shipment references"/>
  </r>
  <r>
    <s v="STL-2024-00247"/>
    <x v="79"/>
    <n v="2024"/>
    <x v="0"/>
    <s v="Q3"/>
    <x v="0"/>
    <s v="Taiwan"/>
    <s v="Export distributor"/>
    <x v="4"/>
    <s v="Energy"/>
    <x v="2"/>
    <x v="2"/>
    <s v="API L80"/>
    <n v="17.149999999999999"/>
    <n v="108"/>
    <n v="7.2"/>
    <n v="200.04"/>
    <n v="1572.36"/>
    <n v="314534.89"/>
    <n v="4.4400000000000002E-2"/>
    <n v="300569.53999999998"/>
    <n v="14845.42"/>
    <n v="0.2218"/>
    <n v="66666.320000000007"/>
    <s v="Net 15"/>
    <s v="S. Kapoor"/>
    <s v="Synthetic sample row shaped by public steel product sales and shipment references"/>
  </r>
  <r>
    <s v="STL-2025-00252"/>
    <x v="80"/>
    <n v="2025"/>
    <x v="5"/>
    <s v="Q4"/>
    <x v="2"/>
    <s v="UAE"/>
    <s v="Export direct"/>
    <x v="6"/>
    <s v="Shipbuilding"/>
    <x v="1"/>
    <x v="1"/>
    <s v="EN S355"/>
    <n v="69.3"/>
    <n v="1792"/>
    <n v="4.3"/>
    <n v="199.78"/>
    <n v="1397.2"/>
    <n v="279132.62"/>
    <n v="4.8099999999999997E-2"/>
    <n v="265706.34000000003"/>
    <n v="15207.07"/>
    <n v="0.15479999999999999"/>
    <n v="41131.339999999997"/>
    <s v="LC at sight"/>
    <s v="N. Sharma"/>
    <s v="Synthetic sample row shaped by public steel product sales and shipment references"/>
  </r>
  <r>
    <s v="STL-2025-00256"/>
    <x v="81"/>
    <n v="2025"/>
    <x v="9"/>
    <s v="Q1"/>
    <x v="3"/>
    <s v="Mexico"/>
    <s v="Domestic direct"/>
    <x v="6"/>
    <s v="Shipbuilding"/>
    <x v="1"/>
    <x v="1"/>
    <s v="JIS SM490"/>
    <n v="74.22"/>
    <n v="2741"/>
    <n v="11.2"/>
    <n v="144.27000000000001"/>
    <n v="1256.33"/>
    <n v="181250.73"/>
    <n v="3.1800000000000002E-2"/>
    <n v="175486.96"/>
    <n v="6058.85"/>
    <n v="0.26169999999999999"/>
    <n v="45924.94"/>
    <s v="Advance"/>
    <s v="R. Iyer"/>
    <s v="Synthetic sample row shaped by public steel product sales and shipment references"/>
  </r>
  <r>
    <s v="STL-2024-00267"/>
    <x v="82"/>
    <n v="2024"/>
    <x v="9"/>
    <s v="Q1"/>
    <x v="1"/>
    <s v="Italy"/>
    <s v="Domestic direct"/>
    <x v="1"/>
    <s v="Infrastructure"/>
    <x v="3"/>
    <x v="3"/>
    <s v="ASTM A53"/>
    <n v="13.58"/>
    <n v="54"/>
    <n v="4.3"/>
    <n v="170.31"/>
    <n v="1091.02"/>
    <n v="185811.62"/>
    <n v="3.7600000000000001E-2"/>
    <n v="178825.1"/>
    <n v="3846.99"/>
    <n v="0.20430000000000001"/>
    <n v="36533.97"/>
    <s v="Net 45"/>
    <s v="A. Mehta"/>
    <s v="Synthetic sample row shaped by public steel product sales and shipment references"/>
  </r>
  <r>
    <s v="STL-2025-00274"/>
    <x v="83"/>
    <n v="2025"/>
    <x v="3"/>
    <s v="Q2"/>
    <x v="4"/>
    <s v="Thailand"/>
    <s v="Domestic direct"/>
    <x v="0"/>
    <s v="Energy"/>
    <x v="2"/>
    <x v="2"/>
    <s v="API P110"/>
    <n v="17.57"/>
    <n v="135"/>
    <n v="8.1"/>
    <n v="84.88"/>
    <n v="1578.63"/>
    <n v="133994.10999999999"/>
    <n v="1.5100000000000001E-2"/>
    <n v="131970.79999999999"/>
    <n v="3118.15"/>
    <n v="0.253"/>
    <n v="33388.61"/>
    <s v="Net 15"/>
    <s v="K. Wilson"/>
    <s v="Synthetic sample row shaped by public steel product sales and shipment references"/>
  </r>
  <r>
    <s v="STL-2024-00280"/>
    <x v="84"/>
    <n v="2024"/>
    <x v="10"/>
    <s v="Q3"/>
    <x v="6"/>
    <s v="South Africa"/>
    <s v="Export direct"/>
    <x v="7"/>
    <s v="Shipbuilding"/>
    <x v="1"/>
    <x v="1"/>
    <s v="ASTM A572"/>
    <n v="54.87"/>
    <n v="2053"/>
    <n v="5.9"/>
    <n v="12.48"/>
    <n v="1127.79"/>
    <n v="14074.82"/>
    <n v="4.3200000000000002E-2"/>
    <n v="13466.79"/>
    <n v="735.1"/>
    <n v="0.15110000000000001"/>
    <n v="2034.83"/>
    <s v="LC at sight"/>
    <s v="S. Kapoor"/>
    <s v="Synthetic sample row shaped by public steel product sales and shipment references"/>
  </r>
  <r>
    <s v="STL-2024-00282"/>
    <x v="85"/>
    <n v="2024"/>
    <x v="11"/>
    <s v="Q4"/>
    <x v="4"/>
    <s v="Thailand"/>
    <s v="Domestic direct"/>
    <x v="4"/>
    <s v="Industrial machinery"/>
    <x v="1"/>
    <x v="1"/>
    <s v="ASTM A516"/>
    <n v="49.55"/>
    <n v="2802"/>
    <n v="12"/>
    <n v="68.33"/>
    <n v="1123.25"/>
    <n v="76751.67"/>
    <n v="2.5600000000000001E-2"/>
    <n v="74786.83"/>
    <n v="2635.33"/>
    <n v="0.1326"/>
    <n v="9916.73"/>
    <s v="Net 30"/>
    <s v="N. Sharma"/>
    <s v="Synthetic sample row shaped by public steel product sales and shipment references"/>
  </r>
  <r>
    <s v="STL-2025-00285"/>
    <x v="38"/>
    <n v="2025"/>
    <x v="0"/>
    <s v="Q3"/>
    <x v="5"/>
    <s v="Bangladesh"/>
    <s v="Domestic direct"/>
    <x v="2"/>
    <s v="Energy"/>
    <x v="3"/>
    <x v="3"/>
    <s v="EN 10219"/>
    <n v="13.69"/>
    <n v="56"/>
    <n v="8.6999999999999993"/>
    <n v="73.62"/>
    <n v="988.27"/>
    <n v="72756.44"/>
    <n v="3.39E-2"/>
    <n v="70290"/>
    <n v="1535.02"/>
    <n v="0.16850000000000001"/>
    <n v="11843.87"/>
    <s v="Net 45"/>
    <s v="R. Iyer"/>
    <s v="Synthetic sample row shaped by public steel product sales and shipment references"/>
  </r>
  <r>
    <s v="STL-2024-00289"/>
    <x v="86"/>
    <n v="2024"/>
    <x v="10"/>
    <s v="Q3"/>
    <x v="2"/>
    <s v="Qatar"/>
    <s v="Domestic distributor"/>
    <x v="0"/>
    <s v="Infrastructure"/>
    <x v="0"/>
    <x v="0"/>
    <s v="BS 4449"/>
    <n v="39.369999999999997"/>
    <n v="28"/>
    <n v="11.9"/>
    <n v="285.31"/>
    <n v="769.9"/>
    <n v="219660.17"/>
    <n v="2.63E-2"/>
    <n v="213883.11"/>
    <n v="6554.45"/>
    <n v="0.24299999999999999"/>
    <n v="51973.599999999999"/>
    <s v="Net 30"/>
    <s v="A. Mehta"/>
    <s v="Synthetic sample row shaped by public steel product sales and shipment references"/>
  </r>
  <r>
    <s v="STL-2025-00291"/>
    <x v="87"/>
    <n v="2025"/>
    <x v="4"/>
    <s v="Q2"/>
    <x v="6"/>
    <s v="South Africa"/>
    <s v="Export direct"/>
    <x v="1"/>
    <s v="Energy"/>
    <x v="1"/>
    <x v="1"/>
    <s v="EN S355"/>
    <n v="52.16"/>
    <n v="2124"/>
    <n v="4"/>
    <n v="90.35"/>
    <n v="1085.67"/>
    <n v="98090.28"/>
    <n v="2.76E-2"/>
    <n v="95382.99"/>
    <n v="5531.53"/>
    <n v="0.13400000000000001"/>
    <n v="12781.32"/>
    <s v="LC at sight"/>
    <s v="K. Wilson"/>
    <s v="Synthetic sample row shaped by public steel product sales and shipment references"/>
  </r>
  <r>
    <s v="STL-2024-00294"/>
    <x v="64"/>
    <n v="2024"/>
    <x v="7"/>
    <s v="Q4"/>
    <x v="5"/>
    <s v="Sri Lanka"/>
    <s v="Export direct"/>
    <x v="1"/>
    <s v="Energy"/>
    <x v="2"/>
    <x v="2"/>
    <s v="API L80"/>
    <n v="6.37"/>
    <n v="120"/>
    <n v="8.9"/>
    <n v="197.87"/>
    <n v="1444.43"/>
    <n v="285809.36"/>
    <n v="4.7800000000000002E-2"/>
    <n v="272147.67"/>
    <n v="15034.85"/>
    <n v="0.21740000000000001"/>
    <n v="59164.9"/>
    <s v="LC at sight"/>
    <s v="F. Haddad"/>
    <s v="Synthetic sample row shaped by public steel product sales and shipment references"/>
  </r>
  <r>
    <s v="STL-2025-00299"/>
    <x v="88"/>
    <n v="2025"/>
    <x v="3"/>
    <s v="Q2"/>
    <x v="2"/>
    <s v="Qatar"/>
    <s v="Export direct"/>
    <x v="4"/>
    <s v="Energy"/>
    <x v="2"/>
    <x v="2"/>
    <s v="API N80"/>
    <n v="11.5"/>
    <n v="183"/>
    <n v="11.9"/>
    <n v="264.25"/>
    <n v="1839.51"/>
    <n v="486090.52"/>
    <n v="4.4299999999999999E-2"/>
    <n v="464556.71"/>
    <n v="16814.349999999999"/>
    <n v="0.2203"/>
    <n v="102341.84"/>
    <s v="LC at sight"/>
    <s v="M. Alvarez"/>
    <s v="Synthetic sample row shaped by public steel product sales and shipment references"/>
  </r>
  <r>
    <s v="STL-2025-00304"/>
    <x v="89"/>
    <n v="2025"/>
    <x v="0"/>
    <s v="Q3"/>
    <x v="6"/>
    <s v="Kenya"/>
    <s v="Domestic distributor"/>
    <x v="3"/>
    <s v="Construction"/>
    <x v="3"/>
    <x v="3"/>
    <s v="EN 10219"/>
    <n v="10.58"/>
    <n v="380"/>
    <n v="11"/>
    <n v="95.38"/>
    <n v="1178.77"/>
    <n v="112431.08"/>
    <n v="5.6300000000000003E-2"/>
    <n v="106101.21"/>
    <n v="3777.17"/>
    <n v="0.1137"/>
    <n v="12063.71"/>
    <s v="Net 45"/>
    <s v="M. Alvarez"/>
    <s v="Synthetic sample row shaped by public steel product sales and shipment references"/>
  </r>
  <r>
    <s v="STL-2025-00313"/>
    <x v="90"/>
    <n v="2025"/>
    <x v="2"/>
    <s v="Q1"/>
    <x v="6"/>
    <s v="South Africa"/>
    <s v="Export direct"/>
    <x v="2"/>
    <s v="Infrastructure"/>
    <x v="0"/>
    <x v="0"/>
    <s v="BS 4449"/>
    <n v="32.92"/>
    <n v="36"/>
    <n v="3.6"/>
    <n v="154.71"/>
    <n v="815.07"/>
    <n v="126099.48"/>
    <n v="4.5999999999999999E-2"/>
    <n v="120298.9"/>
    <n v="10519.55"/>
    <n v="0.22209999999999999"/>
    <n v="26718.39"/>
    <s v="LC at sight"/>
    <s v="F. Haddad"/>
    <s v="Synthetic sample row shaped by public steel product sales and shipment references"/>
  </r>
  <r>
    <s v="STL-2024-00326"/>
    <x v="91"/>
    <n v="2024"/>
    <x v="5"/>
    <s v="Q4"/>
    <x v="4"/>
    <s v="Indonesia"/>
    <s v="Domestic distributor"/>
    <x v="7"/>
    <s v="Infrastructure"/>
    <x v="3"/>
    <x v="3"/>
    <s v="EN 10219"/>
    <n v="2.59"/>
    <n v="268"/>
    <n v="3.4"/>
    <n v="64.790000000000006"/>
    <n v="1100.0899999999999"/>
    <n v="71274.83"/>
    <n v="3.3700000000000001E-2"/>
    <n v="68872.87"/>
    <n v="1885.12"/>
    <n v="0.23630000000000001"/>
    <n v="16274.66"/>
    <s v="LC at sight"/>
    <s v="M. Alvarez"/>
    <s v="Synthetic sample row shaped by public steel product sales and shipment references"/>
  </r>
  <r>
    <s v="STL-2024-00328"/>
    <x v="92"/>
    <n v="2024"/>
    <x v="3"/>
    <s v="Q2"/>
    <x v="0"/>
    <s v="South Korea"/>
    <s v="Export distributor"/>
    <x v="6"/>
    <s v="Energy"/>
    <x v="2"/>
    <x v="2"/>
    <s v="API N80"/>
    <n v="10.87"/>
    <n v="234"/>
    <n v="3.3"/>
    <n v="101.88"/>
    <n v="1735.3"/>
    <n v="176792.36"/>
    <n v="5.7799999999999997E-2"/>
    <n v="166573.76000000001"/>
    <n v="7204.06"/>
    <n v="0.22600000000000001"/>
    <n v="37645.67"/>
    <s v="Net 15"/>
    <s v="F. Haddad"/>
    <s v="Synthetic sample row shaped by public steel product sales and shipment references"/>
  </r>
  <r>
    <s v="STL-2024-00331"/>
    <x v="93"/>
    <n v="2024"/>
    <x v="2"/>
    <s v="Q1"/>
    <x v="3"/>
    <s v="United States"/>
    <s v="Export direct"/>
    <x v="1"/>
    <s v="Infrastructure"/>
    <x v="3"/>
    <x v="3"/>
    <s v="ASTM A53"/>
    <n v="12.55"/>
    <n v="599"/>
    <n v="4.5999999999999996"/>
    <n v="184.54"/>
    <n v="1264.49"/>
    <n v="233348.98"/>
    <n v="4.7600000000000003E-2"/>
    <n v="222241.57"/>
    <n v="12646.09"/>
    <n v="0.20399999999999999"/>
    <n v="45337.279999999999"/>
    <s v="Net 45"/>
    <s v="F. Haddad"/>
    <s v="Synthetic sample row shaped by public steel product sales and shipment references"/>
  </r>
  <r>
    <s v="STL-2025-00339"/>
    <x v="94"/>
    <n v="2025"/>
    <x v="6"/>
    <s v="Q3"/>
    <x v="5"/>
    <s v="Bangladesh"/>
    <s v="Domestic distributor"/>
    <x v="0"/>
    <s v="Infrastructure"/>
    <x v="3"/>
    <x v="3"/>
    <s v="API 5L"/>
    <n v="9.89"/>
    <n v="293"/>
    <n v="10.7"/>
    <n v="52.02"/>
    <n v="1032.6600000000001"/>
    <n v="53718.97"/>
    <n v="5.5500000000000001E-2"/>
    <n v="50737.57"/>
    <n v="1872.83"/>
    <n v="0.16789999999999999"/>
    <n v="8518.84"/>
    <s v="Net 45"/>
    <s v="R. Iyer"/>
    <s v="Synthetic sample row shaped by public steel product sales and shipment references"/>
  </r>
  <r>
    <s v="STL-2025-00343"/>
    <x v="95"/>
    <n v="2025"/>
    <x v="10"/>
    <s v="Q3"/>
    <x v="1"/>
    <s v="Poland"/>
    <s v="Export distributor"/>
    <x v="6"/>
    <s v="Construction"/>
    <x v="3"/>
    <x v="3"/>
    <s v="ASTM A53"/>
    <n v="7.8"/>
    <n v="513"/>
    <n v="11"/>
    <n v="51.83"/>
    <n v="1135.19"/>
    <n v="58836.9"/>
    <n v="6.0900000000000003E-2"/>
    <n v="55253.73"/>
    <n v="3511.76"/>
    <n v="0.24199999999999999"/>
    <n v="13371.4"/>
    <s v="LC at sight"/>
    <s v="A. Mehta"/>
    <s v="Synthetic sample row shaped by public steel product sales and shipment references"/>
  </r>
  <r>
    <s v="STL-2025-00345"/>
    <x v="96"/>
    <n v="2025"/>
    <x v="0"/>
    <s v="Q3"/>
    <x v="4"/>
    <s v="Thailand"/>
    <s v="Export distributor"/>
    <x v="4"/>
    <s v="Infrastructure"/>
    <x v="0"/>
    <x v="0"/>
    <s v="BS 4449"/>
    <n v="28.83"/>
    <n v="24"/>
    <n v="11.9"/>
    <n v="598.88"/>
    <n v="652.95000000000005"/>
    <n v="391038.7"/>
    <n v="7.3400000000000007E-2"/>
    <n v="362336.46"/>
    <n v="57132.3"/>
    <n v="0.21460000000000001"/>
    <n v="77757.399999999994"/>
    <s v="Net 45"/>
    <s v="R. Iyer"/>
    <s v="Synthetic sample row shaped by public steel product sales and shipment references"/>
  </r>
  <r>
    <s v="STL-2024-00346"/>
    <x v="97"/>
    <n v="2024"/>
    <x v="7"/>
    <s v="Q4"/>
    <x v="5"/>
    <s v="Bangladesh"/>
    <s v="Domestic distributor"/>
    <x v="7"/>
    <s v="Energy"/>
    <x v="2"/>
    <x v="2"/>
    <s v="API N80"/>
    <n v="5.36"/>
    <n v="279"/>
    <n v="10.199999999999999"/>
    <n v="78.319999999999993"/>
    <n v="1560.36"/>
    <n v="122207.4"/>
    <n v="1.9199999999999998E-2"/>
    <n v="119861.02"/>
    <n v="2930.19"/>
    <n v="0.22220000000000001"/>
    <n v="26633.119999999999"/>
    <s v="Net 30"/>
    <s v="N. Sharma"/>
    <s v="Synthetic sample row shaped by public steel product sales and shipment references"/>
  </r>
  <r>
    <s v="STL-2024-00353"/>
    <x v="98"/>
    <n v="2024"/>
    <x v="2"/>
    <s v="Q1"/>
    <x v="2"/>
    <s v="Saudi Arabia"/>
    <s v="Export direct"/>
    <x v="1"/>
    <s v="Infrastructure"/>
    <x v="0"/>
    <x v="0"/>
    <s v="IS 1786"/>
    <n v="21.76"/>
    <n v="16"/>
    <n v="8.8000000000000007"/>
    <n v="330.19"/>
    <n v="873.69"/>
    <n v="288483.7"/>
    <n v="6.6900000000000001E-2"/>
    <n v="269184.14"/>
    <n v="28041.74"/>
    <n v="0.1288"/>
    <n v="34670.92"/>
    <s v="LC at sight"/>
    <s v="N. Sharma"/>
    <s v="Synthetic sample row shaped by public steel product sales and shipment references"/>
  </r>
  <r>
    <s v="STL-2024-00356"/>
    <x v="99"/>
    <n v="2024"/>
    <x v="4"/>
    <s v="Q2"/>
    <x v="5"/>
    <s v="Bangladesh"/>
    <s v="Domestic distributor"/>
    <x v="5"/>
    <s v="Infrastructure"/>
    <x v="3"/>
    <x v="3"/>
    <s v="EN 10219"/>
    <n v="3.07"/>
    <n v="512"/>
    <n v="10"/>
    <n v="33.26"/>
    <n v="1230.3699999999999"/>
    <n v="40922.11"/>
    <n v="3.9300000000000002E-2"/>
    <n v="39313.870000000003"/>
    <n v="842.31"/>
    <n v="0.19839999999999999"/>
    <n v="7799.87"/>
    <s v="Advance"/>
    <s v="K. Wilson"/>
    <s v="Synthetic sample row shaped by public steel product sales and shipment references"/>
  </r>
  <r>
    <s v="STL-2025-00360"/>
    <x v="100"/>
    <n v="2025"/>
    <x v="5"/>
    <s v="Q4"/>
    <x v="1"/>
    <s v="Italy"/>
    <s v="Export distributor"/>
    <x v="5"/>
    <s v="Energy"/>
    <x v="3"/>
    <x v="3"/>
    <s v="ASTM A53"/>
    <n v="2.3199999999999998"/>
    <n v="281"/>
    <n v="4.0999999999999996"/>
    <n v="18.760000000000002"/>
    <n v="1312.06"/>
    <n v="24614.25"/>
    <n v="3.4599999999999999E-2"/>
    <n v="23762.6"/>
    <n v="1478.21"/>
    <n v="0.1799"/>
    <n v="4274.8900000000003"/>
    <s v="LC at sight"/>
    <s v="S. Kapoor"/>
    <s v="Synthetic sample row shaped by public steel product sales and shipment references"/>
  </r>
  <r>
    <s v="STL-2025-00361"/>
    <x v="101"/>
    <n v="2025"/>
    <x v="6"/>
    <s v="Q3"/>
    <x v="3"/>
    <s v="Mexico"/>
    <s v="Domestic direct"/>
    <x v="4"/>
    <s v="Energy"/>
    <x v="1"/>
    <x v="1"/>
    <s v="EN S355"/>
    <n v="46.64"/>
    <n v="2979"/>
    <n v="8"/>
    <n v="139.61000000000001"/>
    <n v="1165.7"/>
    <n v="162743.38"/>
    <n v="2.6200000000000001E-2"/>
    <n v="158479.5"/>
    <n v="5487.92"/>
    <n v="0.2596"/>
    <n v="41141.279999999999"/>
    <s v="Net 30"/>
    <s v="K. Wilson"/>
    <s v="Synthetic sample row shaped by public steel product sales and shipment references"/>
  </r>
  <r>
    <s v="STL-2025-00362"/>
    <x v="102"/>
    <n v="2025"/>
    <x v="4"/>
    <s v="Q2"/>
    <x v="0"/>
    <s v="Japan"/>
    <s v="Export direct"/>
    <x v="0"/>
    <s v="Shipbuilding"/>
    <x v="1"/>
    <x v="1"/>
    <s v="ASTM A516"/>
    <n v="42.66"/>
    <n v="2678"/>
    <n v="7.7"/>
    <n v="144.6"/>
    <n v="1237.6500000000001"/>
    <n v="178964.19"/>
    <n v="3.39E-2"/>
    <n v="172897.3"/>
    <n v="9340.4699999999993"/>
    <n v="0.12529999999999999"/>
    <n v="21664.03"/>
    <s v="LC at sight"/>
    <s v="R. Iyer"/>
    <s v="Synthetic sample row shaped by public steel product sales and shipment references"/>
  </r>
  <r>
    <s v="STL-2024-00364"/>
    <x v="103"/>
    <n v="2024"/>
    <x v="9"/>
    <s v="Q1"/>
    <x v="1"/>
    <s v="Italy"/>
    <s v="Domestic distributor"/>
    <x v="5"/>
    <s v="Energy"/>
    <x v="1"/>
    <x v="1"/>
    <s v="EN S355"/>
    <n v="23.69"/>
    <n v="2148"/>
    <n v="8.6999999999999993"/>
    <n v="165.31"/>
    <n v="1042.4100000000001"/>
    <n v="172320.8"/>
    <n v="4.1399999999999999E-2"/>
    <n v="165186.72"/>
    <n v="3565.46"/>
    <n v="0.19819999999999999"/>
    <n v="32740.01"/>
    <s v="Advance"/>
    <s v="K. Wilson"/>
    <s v="Synthetic sample row shaped by public steel product sales and shipment references"/>
  </r>
  <r>
    <s v="STL-2024-00366"/>
    <x v="104"/>
    <n v="2024"/>
    <x v="10"/>
    <s v="Q3"/>
    <x v="5"/>
    <s v="Sri Lanka"/>
    <s v="Domestic direct"/>
    <x v="4"/>
    <s v="Energy"/>
    <x v="2"/>
    <x v="2"/>
    <s v="API L80"/>
    <n v="15.52"/>
    <n v="294"/>
    <n v="6.5"/>
    <n v="189.8"/>
    <n v="1429.42"/>
    <n v="271303.92"/>
    <n v="2.1899999999999999E-2"/>
    <n v="265362.36"/>
    <n v="7897.36"/>
    <n v="0.30359999999999998"/>
    <n v="80564.009999999995"/>
    <s v="Net 15"/>
    <s v="N. Sharma"/>
    <s v="Synthetic sample row shaped by public steel product sales and shipment references"/>
  </r>
  <r>
    <s v="STL-2024-00369"/>
    <x v="31"/>
    <n v="2024"/>
    <x v="10"/>
    <s v="Q3"/>
    <x v="1"/>
    <s v="Spain"/>
    <s v="Domestic distributor"/>
    <x v="4"/>
    <s v="Infrastructure"/>
    <x v="3"/>
    <x v="3"/>
    <s v="API 5L"/>
    <n v="7.63"/>
    <n v="571"/>
    <n v="3.9"/>
    <n v="161.57"/>
    <n v="1187.0999999999999"/>
    <n v="191799.75"/>
    <n v="4.2500000000000003E-2"/>
    <n v="183648.26"/>
    <n v="5248.54"/>
    <n v="0.20680000000000001"/>
    <n v="37978.46"/>
    <s v="Net 45"/>
    <s v="A. Mehta"/>
    <s v="Synthetic sample row shaped by public steel product sales and shipment references"/>
  </r>
  <r>
    <s v="STL-2025-00375"/>
    <x v="105"/>
    <n v="2025"/>
    <x v="0"/>
    <s v="Q3"/>
    <x v="1"/>
    <s v="Poland"/>
    <s v="Export distributor"/>
    <x v="7"/>
    <s v="Infrastructure"/>
    <x v="0"/>
    <x v="0"/>
    <s v="BS 4449"/>
    <n v="8.61"/>
    <n v="24"/>
    <n v="4.9000000000000004"/>
    <n v="192.64"/>
    <n v="723.43"/>
    <n v="139361.56"/>
    <n v="4.3999999999999997E-2"/>
    <n v="133229.65"/>
    <n v="15260.13"/>
    <n v="0.23449999999999999"/>
    <n v="31242.35"/>
    <s v="Net 30"/>
    <s v="N. Sharma"/>
    <s v="Synthetic sample row shaped by public steel product sales and shipment references"/>
  </r>
  <r>
    <s v="STL-2025-00377"/>
    <x v="106"/>
    <n v="2025"/>
    <x v="6"/>
    <s v="Q3"/>
    <x v="5"/>
    <s v="Bangladesh"/>
    <s v="Domestic distributor"/>
    <x v="4"/>
    <s v="Construction"/>
    <x v="3"/>
    <x v="3"/>
    <s v="JIS G3444"/>
    <n v="8.26"/>
    <n v="272"/>
    <n v="8.5"/>
    <n v="124.98"/>
    <n v="1069.56"/>
    <n v="133673.60999999999"/>
    <n v="5.0099999999999999E-2"/>
    <n v="126976.56"/>
    <n v="3207.68"/>
    <n v="0.16059999999999999"/>
    <n v="20392.439999999999"/>
    <s v="LC at sight"/>
    <s v="A. Mehta"/>
    <s v="Synthetic sample row shaped by public steel product sales and shipment references"/>
  </r>
  <r>
    <s v="STL-2025-00378"/>
    <x v="107"/>
    <n v="2025"/>
    <x v="0"/>
    <s v="Q3"/>
    <x v="4"/>
    <s v="Vietnam"/>
    <s v="Export distributor"/>
    <x v="7"/>
    <s v="Construction"/>
    <x v="3"/>
    <x v="3"/>
    <s v="JIS G3444"/>
    <n v="8.98"/>
    <n v="294"/>
    <n v="10.9"/>
    <n v="120.87"/>
    <n v="1091.55"/>
    <n v="131935.65"/>
    <n v="3.39E-2"/>
    <n v="127463.03"/>
    <n v="9805.7099999999991"/>
    <n v="0.222"/>
    <n v="28296.79"/>
    <s v="Net 15"/>
    <s v="M. Alvarez"/>
    <s v="Synthetic sample row shaped by public steel product sales and shipment references"/>
  </r>
  <r>
    <s v="STL-2025-00383"/>
    <x v="108"/>
    <n v="2025"/>
    <x v="10"/>
    <s v="Q3"/>
    <x v="1"/>
    <s v="Spain"/>
    <s v="Domestic distributor"/>
    <x v="1"/>
    <s v="Construction"/>
    <x v="3"/>
    <x v="3"/>
    <s v="ASTM A53"/>
    <n v="10.18"/>
    <n v="482"/>
    <n v="9.1"/>
    <n v="6.45"/>
    <n v="1082.29"/>
    <n v="6980.77"/>
    <n v="3.0099999999999998E-2"/>
    <n v="6770.65"/>
    <n v="237.88"/>
    <n v="0.2051"/>
    <n v="1388.66"/>
    <s v="Net 45"/>
    <s v="N. Sharma"/>
    <s v="Synthetic sample row shaped by public steel product sales and shipment references"/>
  </r>
  <r>
    <s v="STL-2025-00386"/>
    <x v="109"/>
    <n v="2025"/>
    <x v="5"/>
    <s v="Q4"/>
    <x v="4"/>
    <s v="Indonesia"/>
    <s v="Export direct"/>
    <x v="0"/>
    <s v="Energy"/>
    <x v="1"/>
    <x v="1"/>
    <s v="ASTM A572"/>
    <n v="71.2"/>
    <n v="1692"/>
    <n v="3.5"/>
    <n v="159.80000000000001"/>
    <n v="1126.3"/>
    <n v="179982.74"/>
    <n v="5.5500000000000001E-2"/>
    <n v="169993.7"/>
    <n v="13886.82"/>
    <n v="0.23449999999999999"/>
    <n v="39863.519999999997"/>
    <s v="Net 45"/>
    <s v="F. Haddad"/>
    <s v="Synthetic sample row shaped by public steel product sales and shipment references"/>
  </r>
  <r>
    <s v="STL-2024-00387"/>
    <x v="110"/>
    <n v="2024"/>
    <x v="3"/>
    <s v="Q2"/>
    <x v="1"/>
    <s v="Poland"/>
    <s v="Domestic direct"/>
    <x v="2"/>
    <s v="Construction"/>
    <x v="0"/>
    <x v="0"/>
    <s v="BS 4449"/>
    <n v="11.7"/>
    <n v="25"/>
    <n v="11.6"/>
    <n v="288.29000000000002"/>
    <n v="796.34"/>
    <n v="229576.86"/>
    <n v="4.48E-2"/>
    <n v="219291.82"/>
    <n v="6271.4"/>
    <n v="0.18909999999999999"/>
    <n v="41468.080000000002"/>
    <s v="Advance"/>
    <s v="F. Haddad"/>
    <s v="Synthetic sample row shaped by public steel product sales and shipment references"/>
  </r>
  <r>
    <s v="STL-2024-00390"/>
    <x v="111"/>
    <n v="2024"/>
    <x v="3"/>
    <s v="Q2"/>
    <x v="5"/>
    <s v="Sri Lanka"/>
    <s v="Domestic direct"/>
    <x v="3"/>
    <s v="Industrial machinery"/>
    <x v="1"/>
    <x v="1"/>
    <s v="ASTM A516"/>
    <n v="71.209999999999994"/>
    <n v="1267"/>
    <n v="4.9000000000000004"/>
    <n v="15.49"/>
    <n v="1160.4000000000001"/>
    <n v="17974.599999999999"/>
    <n v="2.4299999999999999E-2"/>
    <n v="17537.82"/>
    <n v="363.47"/>
    <n v="0.20649999999999999"/>
    <n v="3621.56"/>
    <s v="Net 30"/>
    <s v="A. Mehta"/>
    <s v="Synthetic sample row shaped by public steel product sales and shipment references"/>
  </r>
  <r>
    <s v="STL-2024-00393"/>
    <x v="74"/>
    <n v="2024"/>
    <x v="1"/>
    <s v="Q2"/>
    <x v="0"/>
    <s v="South Korea"/>
    <s v="Export distributor"/>
    <x v="7"/>
    <s v="Energy"/>
    <x v="3"/>
    <x v="3"/>
    <s v="JIS G3444"/>
    <n v="10.199999999999999"/>
    <n v="251"/>
    <n v="7.1"/>
    <n v="196.31"/>
    <n v="1200.92"/>
    <n v="235752.61"/>
    <n v="4.4400000000000002E-2"/>
    <n v="225285.19"/>
    <n v="16067.58"/>
    <n v="0.17030000000000001"/>
    <n v="38366.07"/>
    <s v="Net 45"/>
    <s v="M. Alvarez"/>
    <s v="Synthetic sample row shaped by public steel product sales and shipment references"/>
  </r>
  <r>
    <s v="STL-2024-00394"/>
    <x v="112"/>
    <n v="2024"/>
    <x v="7"/>
    <s v="Q4"/>
    <x v="4"/>
    <s v="Vietnam"/>
    <s v="Export direct"/>
    <x v="0"/>
    <s v="Infrastructure"/>
    <x v="0"/>
    <x v="0"/>
    <s v="BS 4449"/>
    <n v="25.81"/>
    <n v="35"/>
    <n v="10.3"/>
    <n v="486.74"/>
    <n v="804.44"/>
    <n v="391553.13"/>
    <n v="6.6199999999999995E-2"/>
    <n v="365632.31"/>
    <n v="34060.83"/>
    <n v="0.1545"/>
    <n v="56490.19"/>
    <s v="Advance"/>
    <s v="K. Wilson"/>
    <s v="Synthetic sample row shaped by public steel product sales and shipment references"/>
  </r>
  <r>
    <s v="STL-2024-00398"/>
    <x v="113"/>
    <n v="2024"/>
    <x v="6"/>
    <s v="Q3"/>
    <x v="1"/>
    <s v="Italy"/>
    <s v="Export direct"/>
    <x v="6"/>
    <s v="Construction"/>
    <x v="3"/>
    <x v="3"/>
    <s v="API 5L"/>
    <n v="9.94"/>
    <n v="477"/>
    <n v="8.4"/>
    <n v="198.87"/>
    <n v="1241.99"/>
    <n v="246994.55"/>
    <n v="4.7899999999999998E-2"/>
    <n v="235163.51"/>
    <n v="13705.37"/>
    <n v="0.17299999999999999"/>
    <n v="40683.29"/>
    <s v="LC at sight"/>
    <s v="D. Chen"/>
    <s v="Synthetic sample row shaped by public steel product sales and shipment references"/>
  </r>
  <r>
    <s v="STL-2024-00400"/>
    <x v="114"/>
    <n v="2024"/>
    <x v="0"/>
    <s v="Q3"/>
    <x v="4"/>
    <s v="Malaysia"/>
    <s v="Domestic distributor"/>
    <x v="5"/>
    <s v="Industrial machinery"/>
    <x v="1"/>
    <x v="1"/>
    <s v="EN S355"/>
    <n v="56.92"/>
    <n v="2860"/>
    <n v="11.7"/>
    <n v="79.260000000000005"/>
    <n v="1065.27"/>
    <n v="84433.3"/>
    <n v="1.32E-2"/>
    <n v="83318.78"/>
    <n v="2676.79"/>
    <n v="0.11990000000000001"/>
    <n v="9989.92"/>
    <s v="Net 15"/>
    <s v="S. Kapoor"/>
    <s v="Synthetic sample row shaped by public steel product sales and shipment references"/>
  </r>
  <r>
    <s v="STL-2025-00406"/>
    <x v="115"/>
    <n v="2025"/>
    <x v="2"/>
    <s v="Q1"/>
    <x v="1"/>
    <s v="Germany"/>
    <s v="Export distributor"/>
    <x v="7"/>
    <s v="Energy"/>
    <x v="2"/>
    <x v="2"/>
    <s v="API J55"/>
    <n v="12.43"/>
    <n v="126"/>
    <n v="6.7"/>
    <n v="137.94"/>
    <n v="1699.13"/>
    <n v="234377.99"/>
    <n v="3.56E-2"/>
    <n v="226034.13"/>
    <n v="9589.83"/>
    <n v="0.23830000000000001"/>
    <n v="53863.93"/>
    <s v="LC at sight"/>
    <s v="D. Chen"/>
    <s v="Synthetic sample row shaped by public steel product sales and shipment references"/>
  </r>
  <r>
    <s v="STL-2025-00408"/>
    <x v="116"/>
    <n v="2025"/>
    <x v="9"/>
    <s v="Q1"/>
    <x v="2"/>
    <s v="UAE"/>
    <s v="Export distributor"/>
    <x v="6"/>
    <s v="Construction"/>
    <x v="0"/>
    <x v="0"/>
    <s v="BS 4449"/>
    <n v="23.34"/>
    <n v="18"/>
    <n v="11"/>
    <n v="189.9"/>
    <n v="722"/>
    <n v="137107.79999999999"/>
    <n v="6.0699999999999997E-2"/>
    <n v="128785.36"/>
    <n v="10078"/>
    <n v="0.2351"/>
    <n v="30277.439999999999"/>
    <s v="Advance"/>
    <s v="F. Haddad"/>
    <s v="Synthetic sample row shaped by public steel product sales and shipment references"/>
  </r>
  <r>
    <s v="STL-2024-00410"/>
    <x v="117"/>
    <n v="2024"/>
    <x v="8"/>
    <s v="Q1"/>
    <x v="4"/>
    <s v="Indonesia"/>
    <s v="Domestic distributor"/>
    <x v="6"/>
    <s v="Energy"/>
    <x v="2"/>
    <x v="2"/>
    <s v="API J55"/>
    <n v="10.79"/>
    <n v="67"/>
    <n v="3"/>
    <n v="52.31"/>
    <n v="1514.04"/>
    <n v="79199.429999999993"/>
    <n v="1.4999999999999999E-2"/>
    <n v="78011.44"/>
    <n v="1555.67"/>
    <n v="0.25369999999999998"/>
    <n v="19791.5"/>
    <s v="LC at sight"/>
    <s v="K. Wilson"/>
    <s v="Synthetic sample row shaped by public steel product sales and shipment references"/>
  </r>
  <r>
    <s v="STL-2024-00411"/>
    <x v="91"/>
    <n v="2024"/>
    <x v="5"/>
    <s v="Q4"/>
    <x v="1"/>
    <s v="Italy"/>
    <s v="Export distributor"/>
    <x v="4"/>
    <s v="Energy"/>
    <x v="3"/>
    <x v="3"/>
    <s v="API 5L"/>
    <n v="2.77"/>
    <n v="119"/>
    <n v="11.4"/>
    <n v="190.38"/>
    <n v="1238.1500000000001"/>
    <n v="235719"/>
    <n v="3.95E-2"/>
    <n v="226408.1"/>
    <n v="18369.75"/>
    <n v="0.13950000000000001"/>
    <n v="31583.93"/>
    <s v="Net 30"/>
    <s v="F. Haddad"/>
    <s v="Synthetic sample row shaped by public steel product sales and shipment references"/>
  </r>
  <r>
    <s v="STL-2024-00412"/>
    <x v="118"/>
    <n v="2024"/>
    <x v="4"/>
    <s v="Q2"/>
    <x v="6"/>
    <s v="Kenya"/>
    <s v="Domestic direct"/>
    <x v="5"/>
    <s v="Construction"/>
    <x v="0"/>
    <x v="0"/>
    <s v="IS 1786"/>
    <n v="17.97"/>
    <n v="20"/>
    <n v="10.6"/>
    <n v="617.37"/>
    <n v="782.52"/>
    <n v="483104.37"/>
    <n v="6.4699999999999994E-2"/>
    <n v="451847.52"/>
    <n v="23958.07"/>
    <n v="0.17219999999999999"/>
    <n v="77808.14"/>
    <s v="Net 45"/>
    <s v="K. Wilson"/>
    <s v="Synthetic sample row shaped by public steel product sales and shipment references"/>
  </r>
  <r>
    <s v="STL-2024-00417"/>
    <x v="119"/>
    <n v="2024"/>
    <x v="7"/>
    <s v="Q4"/>
    <x v="0"/>
    <s v="South Korea"/>
    <s v="Export direct"/>
    <x v="2"/>
    <s v="Construction"/>
    <x v="0"/>
    <x v="0"/>
    <s v="IS 1786"/>
    <n v="17.989999999999998"/>
    <n v="13"/>
    <n v="6.9"/>
    <n v="104.02"/>
    <n v="700.19"/>
    <n v="72833.759999999995"/>
    <n v="6.0499999999999998E-2"/>
    <n v="68427.320000000007"/>
    <n v="6369.23"/>
    <n v="0.2402"/>
    <n v="16436.240000000002"/>
    <s v="Net 30"/>
    <s v="K. Wilson"/>
    <s v="Synthetic sample row shaped by public steel product sales and shipment references"/>
  </r>
  <r>
    <s v="STL-2024-00425"/>
    <x v="120"/>
    <n v="2024"/>
    <x v="3"/>
    <s v="Q2"/>
    <x v="6"/>
    <s v="South Africa"/>
    <s v="Export direct"/>
    <x v="1"/>
    <s v="Infrastructure"/>
    <x v="3"/>
    <x v="3"/>
    <s v="ASTM A53"/>
    <n v="9.4"/>
    <n v="343"/>
    <n v="8.1"/>
    <n v="249.01"/>
    <n v="1238.6400000000001"/>
    <n v="308433.75"/>
    <n v="1.9300000000000001E-2"/>
    <n v="302480.98"/>
    <n v="14268.77"/>
    <n v="0.1358"/>
    <n v="41076.92"/>
    <s v="LC at sight"/>
    <s v="S. Kapoor"/>
    <s v="Synthetic sample row shaped by public steel product sales and shipment references"/>
  </r>
  <r>
    <s v="STL-2024-00426"/>
    <x v="121"/>
    <n v="2024"/>
    <x v="11"/>
    <s v="Q4"/>
    <x v="1"/>
    <s v="Poland"/>
    <s v="Domestic direct"/>
    <x v="7"/>
    <s v="Construction"/>
    <x v="3"/>
    <x v="3"/>
    <s v="API 5L"/>
    <n v="11.34"/>
    <n v="511"/>
    <n v="8.5"/>
    <n v="186.15"/>
    <n v="1221.8800000000001"/>
    <n v="227452.96"/>
    <n v="2.5499999999999998E-2"/>
    <n v="221652.91"/>
    <n v="4004.5"/>
    <n v="0.22600000000000001"/>
    <n v="50093.56"/>
    <s v="Net 30"/>
    <s v="N. Sharma"/>
    <s v="Synthetic sample row shaped by public steel product sales and shipment references"/>
  </r>
  <r>
    <s v="STL-2025-00428"/>
    <x v="122"/>
    <n v="2025"/>
    <x v="11"/>
    <s v="Q4"/>
    <x v="2"/>
    <s v="Qatar"/>
    <s v="Domestic direct"/>
    <x v="4"/>
    <s v="Energy"/>
    <x v="2"/>
    <x v="2"/>
    <s v="API L80"/>
    <n v="16.57"/>
    <n v="75"/>
    <n v="6.9"/>
    <n v="69.489999999999995"/>
    <n v="1799.95"/>
    <n v="125078.53"/>
    <n v="3.9E-2"/>
    <n v="120200.47"/>
    <n v="2609.46"/>
    <n v="0.18529999999999999"/>
    <n v="22273.15"/>
    <s v="Net 30"/>
    <s v="D. Chen"/>
    <s v="Synthetic sample row shaped by public steel product sales and shipment references"/>
  </r>
  <r>
    <s v="STL-2024-00429"/>
    <x v="123"/>
    <n v="2024"/>
    <x v="4"/>
    <s v="Q2"/>
    <x v="3"/>
    <s v="Mexico"/>
    <s v="Export direct"/>
    <x v="2"/>
    <s v="Shipbuilding"/>
    <x v="1"/>
    <x v="1"/>
    <s v="ASTM A516"/>
    <n v="50.6"/>
    <n v="1948"/>
    <n v="3.5"/>
    <n v="125.69"/>
    <n v="1157.2"/>
    <n v="145448.47"/>
    <n v="2.0400000000000001E-2"/>
    <n v="142481.32"/>
    <n v="10633.7"/>
    <n v="0.13120000000000001"/>
    <n v="18693.55"/>
    <s v="Net 15"/>
    <s v="N. Sharma"/>
    <s v="Synthetic sample row shaped by public steel product sales and shipment references"/>
  </r>
  <r>
    <s v="STL-2025-00430"/>
    <x v="124"/>
    <n v="2025"/>
    <x v="2"/>
    <s v="Q1"/>
    <x v="3"/>
    <s v="United States"/>
    <s v="Export distributor"/>
    <x v="0"/>
    <s v="Energy"/>
    <x v="1"/>
    <x v="1"/>
    <s v="EN S355"/>
    <n v="53.25"/>
    <n v="2514"/>
    <n v="7.3"/>
    <n v="27.83"/>
    <n v="1351.1"/>
    <n v="37601.11"/>
    <n v="3.8600000000000002E-2"/>
    <n v="36149.71"/>
    <n v="2190.0100000000002"/>
    <n v="0.18590000000000001"/>
    <n v="6720.23"/>
    <s v="Net 45"/>
    <s v="A. Mehta"/>
    <s v="Synthetic sample row shaped by public steel product sales and shipment references"/>
  </r>
  <r>
    <s v="STL-2025-00431"/>
    <x v="125"/>
    <n v="2025"/>
    <x v="4"/>
    <s v="Q2"/>
    <x v="4"/>
    <s v="Indonesia"/>
    <s v="Domestic distributor"/>
    <x v="0"/>
    <s v="Construction"/>
    <x v="0"/>
    <x v="0"/>
    <s v="B500B"/>
    <n v="17.649999999999999"/>
    <n v="34"/>
    <n v="8.4"/>
    <n v="396.62"/>
    <n v="715.4"/>
    <n v="283741.95"/>
    <n v="2.8500000000000001E-2"/>
    <n v="275655.3"/>
    <n v="12815.83"/>
    <n v="0.18559999999999999"/>
    <n v="51161.62"/>
    <s v="Net 15"/>
    <s v="D. Chen"/>
    <s v="Synthetic sample row shaped by public steel product sales and shipment references"/>
  </r>
  <r>
    <s v="STL-2025-00434"/>
    <x v="126"/>
    <n v="2025"/>
    <x v="4"/>
    <s v="Q2"/>
    <x v="6"/>
    <s v="Egypt"/>
    <s v="Domestic direct"/>
    <x v="2"/>
    <s v="Industrial machinery"/>
    <x v="1"/>
    <x v="1"/>
    <s v="JIS SM490"/>
    <n v="63.05"/>
    <n v="2540"/>
    <n v="6.9"/>
    <n v="114.08"/>
    <n v="1268.55"/>
    <n v="144716.18"/>
    <n v="3.8899999999999997E-2"/>
    <n v="139086.72"/>
    <n v="3236.09"/>
    <n v="0.12959999999999999"/>
    <n v="18025.64"/>
    <s v="Advance"/>
    <s v="F. Haddad"/>
    <s v="Synthetic sample row shaped by public steel product sales and shipment references"/>
  </r>
  <r>
    <s v="STL-2025-00435"/>
    <x v="127"/>
    <n v="2025"/>
    <x v="1"/>
    <s v="Q2"/>
    <x v="5"/>
    <s v="Bangladesh"/>
    <s v="Export direct"/>
    <x v="6"/>
    <s v="Construction"/>
    <x v="3"/>
    <x v="3"/>
    <s v="API 5L"/>
    <n v="15.9"/>
    <n v="103"/>
    <n v="7.3"/>
    <n v="210.13"/>
    <n v="1205.54"/>
    <n v="253320.12"/>
    <n v="3.9300000000000002E-2"/>
    <n v="243364.64"/>
    <n v="17689.650000000001"/>
    <n v="0.13950000000000001"/>
    <n v="33949.370000000003"/>
    <s v="Advance"/>
    <s v="N. Sharma"/>
    <s v="Synthetic sample row shaped by public steel product sales and shipment references"/>
  </r>
  <r>
    <s v="STL-2024-00438"/>
    <x v="128"/>
    <n v="2024"/>
    <x v="7"/>
    <s v="Q4"/>
    <x v="3"/>
    <s v="United States"/>
    <s v="Export distributor"/>
    <x v="3"/>
    <s v="Energy"/>
    <x v="1"/>
    <x v="1"/>
    <s v="JIS SM490"/>
    <n v="61.5"/>
    <n v="1594"/>
    <n v="5.4"/>
    <n v="165.81"/>
    <n v="1233.8800000000001"/>
    <n v="204589.64"/>
    <n v="5.0999999999999997E-2"/>
    <n v="194155.57"/>
    <n v="15960.05"/>
    <n v="0.1552"/>
    <n v="30132.94"/>
    <s v="Net 30"/>
    <s v="N. Sharma"/>
    <s v="Synthetic sample row shaped by public steel product sales and shipment references"/>
  </r>
  <r>
    <s v="STL-2024-00442"/>
    <x v="129"/>
    <n v="2024"/>
    <x v="3"/>
    <s v="Q2"/>
    <x v="3"/>
    <s v="Mexico"/>
    <s v="Export direct"/>
    <x v="4"/>
    <s v="Construction"/>
    <x v="0"/>
    <x v="0"/>
    <s v="ASTM A615"/>
    <n v="35.72"/>
    <n v="28"/>
    <n v="5.8"/>
    <n v="609.30999999999995"/>
    <n v="821.8"/>
    <n v="500730.96"/>
    <n v="7.3800000000000004E-2"/>
    <n v="463777.02"/>
    <n v="56630.04"/>
    <n v="0.25440000000000002"/>
    <n v="117984.87"/>
    <s v="LC at sight"/>
    <s v="S. Kapoor"/>
    <s v="Synthetic sample row shaped by public steel product sales and shipment references"/>
  </r>
  <r>
    <s v="STL-2024-00443"/>
    <x v="85"/>
    <n v="2024"/>
    <x v="11"/>
    <s v="Q4"/>
    <x v="0"/>
    <s v="Taiwan"/>
    <s v="Export distributor"/>
    <x v="5"/>
    <s v="Shipbuilding"/>
    <x v="1"/>
    <x v="1"/>
    <s v="ASTM A572"/>
    <n v="34.119999999999997"/>
    <n v="2709"/>
    <n v="3.7"/>
    <n v="164.49"/>
    <n v="1242.05"/>
    <n v="204304.8"/>
    <n v="2.2200000000000001E-2"/>
    <n v="199769.23"/>
    <n v="10905.31"/>
    <n v="0.13150000000000001"/>
    <n v="26269.65"/>
    <s v="LC at sight"/>
    <s v="N. Sharma"/>
    <s v="Synthetic sample row shaped by public steel product sales and shipment references"/>
  </r>
  <r>
    <s v="STL-2025-00447"/>
    <x v="130"/>
    <n v="2025"/>
    <x v="8"/>
    <s v="Q1"/>
    <x v="1"/>
    <s v="Italy"/>
    <s v="Domestic direct"/>
    <x v="5"/>
    <s v="Shipbuilding"/>
    <x v="1"/>
    <x v="1"/>
    <s v="EN S355"/>
    <n v="16.670000000000002"/>
    <n v="1950"/>
    <n v="8.6"/>
    <n v="17.78"/>
    <n v="1073.21"/>
    <n v="19081.669999999998"/>
    <n v="4.3499999999999997E-2"/>
    <n v="18251.62"/>
    <n v="391.19"/>
    <n v="0.26700000000000002"/>
    <n v="4873.18"/>
    <s v="Net 15"/>
    <s v="F. Haddad"/>
    <s v="Synthetic sample row shaped by public steel product sales and shipment references"/>
  </r>
  <r>
    <s v="STL-2025-00449"/>
    <x v="56"/>
    <n v="2025"/>
    <x v="9"/>
    <s v="Q1"/>
    <x v="6"/>
    <s v="Kenya"/>
    <s v="Export distributor"/>
    <x v="1"/>
    <s v="Energy"/>
    <x v="3"/>
    <x v="3"/>
    <s v="ASTM A53"/>
    <n v="8.1199999999999992"/>
    <n v="144"/>
    <n v="6.7"/>
    <n v="197.62"/>
    <n v="1033.52"/>
    <n v="204244.22"/>
    <n v="5.2900000000000003E-2"/>
    <n v="193439.7"/>
    <n v="16101.77"/>
    <n v="0.1925"/>
    <n v="37237.14"/>
    <s v="LC at sight"/>
    <s v="N. Sharma"/>
    <s v="Synthetic sample row shaped by public steel product sales and shipment references"/>
  </r>
  <r>
    <s v="STL-2024-00452"/>
    <x v="131"/>
    <n v="2024"/>
    <x v="11"/>
    <s v="Q4"/>
    <x v="2"/>
    <s v="Qatar"/>
    <s v="Export direct"/>
    <x v="7"/>
    <s v="Industrial machinery"/>
    <x v="1"/>
    <x v="1"/>
    <s v="EN S355"/>
    <n v="65.540000000000006"/>
    <n v="2027"/>
    <n v="9.1"/>
    <n v="82.52"/>
    <n v="1197.32"/>
    <n v="98802.85"/>
    <n v="2.93E-2"/>
    <n v="95907.93"/>
    <n v="4974.88"/>
    <n v="0.1646"/>
    <n v="15786.45"/>
    <s v="Net 45"/>
    <s v="A. Mehta"/>
    <s v="Synthetic sample row shaped by public steel product sales and shipment references"/>
  </r>
  <r>
    <s v="STL-2025-00457"/>
    <x v="132"/>
    <n v="2025"/>
    <x v="8"/>
    <s v="Q1"/>
    <x v="3"/>
    <s v="United States"/>
    <s v="Export distributor"/>
    <x v="2"/>
    <s v="Construction"/>
    <x v="3"/>
    <x v="3"/>
    <s v="EN 10219"/>
    <n v="11.51"/>
    <n v="516"/>
    <n v="4.9000000000000004"/>
    <n v="5.72"/>
    <n v="1146.1099999999999"/>
    <n v="6555.75"/>
    <n v="3.9300000000000002E-2"/>
    <n v="6298.11"/>
    <n v="488.61"/>
    <n v="0.20580000000000001"/>
    <n v="1296.1500000000001"/>
    <s v="Net 30"/>
    <s v="R. Iyer"/>
    <s v="Synthetic sample row shaped by public steel product sales and shipment references"/>
  </r>
  <r>
    <s v="STL-2024-00459"/>
    <x v="133"/>
    <n v="2024"/>
    <x v="11"/>
    <s v="Q4"/>
    <x v="1"/>
    <s v="Italy"/>
    <s v="Export distributor"/>
    <x v="0"/>
    <s v="Construction"/>
    <x v="3"/>
    <x v="3"/>
    <s v="ASTM A53"/>
    <n v="3.94"/>
    <n v="307"/>
    <n v="4.0999999999999996"/>
    <n v="95.93"/>
    <n v="1194.67"/>
    <n v="114604.69"/>
    <n v="3.6999999999999998E-2"/>
    <n v="110364.32"/>
    <n v="8604.43"/>
    <n v="0.18149999999999999"/>
    <n v="20031.12"/>
    <s v="Advance"/>
    <s v="S. Kapoor"/>
    <s v="Synthetic sample row shaped by public steel product sales and shipment references"/>
  </r>
  <r>
    <s v="STL-2025-00462"/>
    <x v="134"/>
    <n v="2025"/>
    <x v="7"/>
    <s v="Q4"/>
    <x v="5"/>
    <s v="India"/>
    <s v="Export direct"/>
    <x v="0"/>
    <s v="Infrastructure"/>
    <x v="0"/>
    <x v="0"/>
    <s v="BS 4449"/>
    <n v="36.880000000000003"/>
    <n v="24"/>
    <n v="10.3"/>
    <n v="620.89"/>
    <n v="729.04"/>
    <n v="452653.65"/>
    <n v="4.7399999999999998E-2"/>
    <n v="431197.87"/>
    <n v="54006.15"/>
    <n v="0.20080000000000001"/>
    <n v="86584.53"/>
    <s v="Net 45"/>
    <s v="R. Iyer"/>
    <s v="Synthetic sample row shaped by public steel product sales and shipment references"/>
  </r>
  <r>
    <s v="STL-2025-00465"/>
    <x v="135"/>
    <n v="2025"/>
    <x v="1"/>
    <s v="Q2"/>
    <x v="4"/>
    <s v="Vietnam"/>
    <s v="Domestic distributor"/>
    <x v="5"/>
    <s v="Construction"/>
    <x v="3"/>
    <x v="3"/>
    <s v="API 5L"/>
    <n v="7.29"/>
    <n v="558"/>
    <n v="8.1"/>
    <n v="11.35"/>
    <n v="1261.69"/>
    <n v="14320.18"/>
    <n v="1.9099999999999999E-2"/>
    <n v="14046.66"/>
    <n v="284.07"/>
    <n v="0.1356"/>
    <n v="1904.73"/>
    <s v="Advance"/>
    <s v="K. Wilson"/>
    <s v="Synthetic sample row shaped by public steel product sales and shipment references"/>
  </r>
  <r>
    <s v="STL-2024-00470"/>
    <x v="136"/>
    <n v="2024"/>
    <x v="2"/>
    <s v="Q1"/>
    <x v="2"/>
    <s v="UAE"/>
    <s v="Export distributor"/>
    <x v="4"/>
    <s v="Energy"/>
    <x v="1"/>
    <x v="1"/>
    <s v="ASTM A516"/>
    <n v="39.01"/>
    <n v="1565"/>
    <n v="10.5"/>
    <n v="133.37"/>
    <n v="1264.3399999999999"/>
    <n v="168625.03"/>
    <n v="2.5399999999999999E-2"/>
    <n v="164341.95000000001"/>
    <n v="10540.43"/>
    <n v="0.17019999999999999"/>
    <n v="27971"/>
    <s v="LC at sight"/>
    <s v="N. Sharma"/>
    <s v="Synthetic sample row shaped by public steel product sales and shipment references"/>
  </r>
  <r>
    <s v="STL-2024-00476"/>
    <x v="65"/>
    <n v="2024"/>
    <x v="0"/>
    <s v="Q3"/>
    <x v="5"/>
    <s v="Sri Lanka"/>
    <s v="Domestic direct"/>
    <x v="5"/>
    <s v="Infrastructure"/>
    <x v="0"/>
    <x v="0"/>
    <s v="BS 4449"/>
    <n v="26.27"/>
    <n v="21"/>
    <n v="9.6"/>
    <n v="566.33000000000004"/>
    <n v="693.08"/>
    <n v="392512"/>
    <n v="4.8800000000000003E-2"/>
    <n v="373357.41"/>
    <n v="12744.18"/>
    <n v="0.1918"/>
    <n v="71609.95"/>
    <s v="Advance"/>
    <s v="F. Haddad"/>
    <s v="Synthetic sample row shaped by public steel product sales and shipment references"/>
  </r>
  <r>
    <s v="STL-2024-00477"/>
    <x v="137"/>
    <n v="2024"/>
    <x v="2"/>
    <s v="Q1"/>
    <x v="5"/>
    <s v="Bangladesh"/>
    <s v="Export distributor"/>
    <x v="4"/>
    <s v="Shipbuilding"/>
    <x v="1"/>
    <x v="1"/>
    <s v="JIS SM490"/>
    <n v="37.89"/>
    <n v="2224"/>
    <n v="7"/>
    <n v="69.150000000000006"/>
    <n v="1056.4100000000001"/>
    <n v="73050.75"/>
    <n v="5.0799999999999998E-2"/>
    <n v="69339.77"/>
    <n v="4990.38"/>
    <n v="0.16739999999999999"/>
    <n v="11607.48"/>
    <s v="Net 45"/>
    <s v="R. Iyer"/>
    <s v="Synthetic sample row shaped by public steel product sales and shipment references"/>
  </r>
  <r>
    <s v="STL-2025-00481"/>
    <x v="138"/>
    <n v="2025"/>
    <x v="0"/>
    <s v="Q3"/>
    <x v="2"/>
    <s v="Saudi Arabia"/>
    <s v="Export direct"/>
    <x v="2"/>
    <s v="Construction"/>
    <x v="0"/>
    <x v="0"/>
    <s v="BS 4449"/>
    <n v="34.74"/>
    <n v="31"/>
    <n v="3.6"/>
    <n v="140.19"/>
    <n v="733.08"/>
    <n v="102770.49"/>
    <n v="2.1700000000000001E-2"/>
    <n v="100540.37"/>
    <n v="8965.7000000000007"/>
    <n v="0.25490000000000002"/>
    <n v="25627.74"/>
    <s v="Advance"/>
    <s v="R. Iyer"/>
    <s v="Synthetic sample row shaped by public steel product sales and shipment references"/>
  </r>
  <r>
    <s v="STL-2024-00483"/>
    <x v="139"/>
    <n v="2024"/>
    <x v="0"/>
    <s v="Q3"/>
    <x v="4"/>
    <s v="Thailand"/>
    <s v="Domestic direct"/>
    <x v="5"/>
    <s v="Construction"/>
    <x v="0"/>
    <x v="0"/>
    <s v="ASTM A615"/>
    <n v="32.03"/>
    <n v="13"/>
    <n v="9.3000000000000007"/>
    <n v="58.82"/>
    <n v="749.35"/>
    <n v="44076.77"/>
    <n v="1.54E-2"/>
    <n v="43397.99"/>
    <n v="1757.73"/>
    <n v="0.1454"/>
    <n v="6310.07"/>
    <s v="Net 30"/>
    <s v="R. Iyer"/>
    <s v="Synthetic sample row shaped by public steel product sales and shipment references"/>
  </r>
  <r>
    <s v="STL-2024-00492"/>
    <x v="140"/>
    <n v="2024"/>
    <x v="6"/>
    <s v="Q3"/>
    <x v="5"/>
    <s v="Bangladesh"/>
    <s v="Domestic distributor"/>
    <x v="7"/>
    <s v="Industrial machinery"/>
    <x v="1"/>
    <x v="1"/>
    <s v="ASTM A572"/>
    <n v="50.57"/>
    <n v="1951"/>
    <n v="9.9"/>
    <n v="87.52"/>
    <n v="1070.21"/>
    <n v="93664.78"/>
    <n v="3.4799999999999998E-2"/>
    <n v="90405.25"/>
    <n v="1647.14"/>
    <n v="0.26850000000000002"/>
    <n v="24273.81"/>
    <s v="Net 45"/>
    <s v="F. Haddad"/>
    <s v="Synthetic sample row shaped by public steel product sales and shipment references"/>
  </r>
  <r>
    <s v="STL-2024-00493"/>
    <x v="141"/>
    <n v="2024"/>
    <x v="6"/>
    <s v="Q3"/>
    <x v="3"/>
    <s v="Mexico"/>
    <s v="Domestic distributor"/>
    <x v="1"/>
    <s v="Infrastructure"/>
    <x v="3"/>
    <x v="3"/>
    <s v="API 5L"/>
    <n v="9.0299999999999994"/>
    <n v="596"/>
    <n v="3.9"/>
    <n v="10.45"/>
    <n v="1251.42"/>
    <n v="13077.34"/>
    <n v="2.52E-2"/>
    <n v="12747.79"/>
    <n v="362.29"/>
    <n v="0.18790000000000001"/>
    <n v="2395.31"/>
    <s v="Advance"/>
    <s v="N. Sharma"/>
    <s v="Synthetic sample row shaped by public steel product sales and shipment references"/>
  </r>
  <r>
    <s v="STL-2025-00501"/>
    <x v="142"/>
    <n v="2025"/>
    <x v="5"/>
    <s v="Q4"/>
    <x v="0"/>
    <s v="South Korea"/>
    <s v="Export distributor"/>
    <x v="5"/>
    <s v="Construction"/>
    <x v="3"/>
    <x v="3"/>
    <s v="API 5L"/>
    <n v="15.44"/>
    <n v="552"/>
    <n v="3.6"/>
    <n v="86.44"/>
    <n v="1190.0999999999999"/>
    <n v="102872.24"/>
    <n v="5.8500000000000003E-2"/>
    <n v="96854.21"/>
    <n v="6376.99"/>
    <n v="0.1061"/>
    <n v="10276.23"/>
    <s v="Net 45"/>
    <s v="D. Chen"/>
    <s v="Synthetic sample row shaped by public steel product sales and shipment references"/>
  </r>
  <r>
    <s v="STL-2024-00507"/>
    <x v="143"/>
    <n v="2024"/>
    <x v="9"/>
    <s v="Q1"/>
    <x v="5"/>
    <s v="India"/>
    <s v="Export direct"/>
    <x v="2"/>
    <s v="Shipbuilding"/>
    <x v="1"/>
    <x v="1"/>
    <s v="JIS SM490"/>
    <n v="9.34"/>
    <n v="2755"/>
    <n v="6.4"/>
    <n v="52.89"/>
    <n v="1001.57"/>
    <n v="52973.04"/>
    <n v="5.8500000000000003E-2"/>
    <n v="49874.12"/>
    <n v="3768.55"/>
    <n v="0.1419"/>
    <n v="7077.14"/>
    <s v="Net 15"/>
    <s v="M. Alvarez"/>
    <s v="Synthetic sample row shaped by public steel product sales and shipment references"/>
  </r>
  <r>
    <s v="STL-2025-00517"/>
    <x v="144"/>
    <n v="2025"/>
    <x v="11"/>
    <s v="Q4"/>
    <x v="5"/>
    <s v="Sri Lanka"/>
    <s v="Domestic distributor"/>
    <x v="2"/>
    <s v="Infrastructure"/>
    <x v="0"/>
    <x v="0"/>
    <s v="BS 4449"/>
    <n v="30.48"/>
    <n v="15"/>
    <n v="3.6"/>
    <n v="342.53"/>
    <n v="727.57"/>
    <n v="249214.55"/>
    <n v="3.2099999999999997E-2"/>
    <n v="241214.76"/>
    <n v="6422.31"/>
    <n v="0.1457"/>
    <n v="35144.99"/>
    <s v="Advance"/>
    <s v="S. Kapoor"/>
    <s v="Synthetic sample row shaped by public steel product sales and shipment references"/>
  </r>
  <r>
    <s v="STL-2025-00518"/>
    <x v="15"/>
    <n v="2025"/>
    <x v="9"/>
    <s v="Q1"/>
    <x v="2"/>
    <s v="Saudi Arabia"/>
    <s v="Domestic direct"/>
    <x v="1"/>
    <s v="Industrial machinery"/>
    <x v="1"/>
    <x v="1"/>
    <s v="ASTM A572"/>
    <n v="74.790000000000006"/>
    <n v="1377"/>
    <n v="6.6"/>
    <n v="69.08"/>
    <n v="1178.78"/>
    <n v="81430.12"/>
    <n v="3.2099999999999997E-2"/>
    <n v="78816.210000000006"/>
    <n v="2860.05"/>
    <n v="0.21729999999999999"/>
    <n v="17126.759999999998"/>
    <s v="Net 30"/>
    <s v="F. Haddad"/>
    <s v="Synthetic sample row shaped by public steel product sales and shipment references"/>
  </r>
  <r>
    <s v="STL-2025-00525"/>
    <x v="145"/>
    <n v="2025"/>
    <x v="0"/>
    <s v="Q3"/>
    <x v="2"/>
    <s v="UAE"/>
    <s v="Export distributor"/>
    <x v="4"/>
    <s v="Infrastructure"/>
    <x v="0"/>
    <x v="0"/>
    <s v="ASTM A615"/>
    <n v="24.08"/>
    <n v="13"/>
    <n v="9.1"/>
    <n v="376.21"/>
    <n v="735.73"/>
    <n v="276788.98"/>
    <n v="6.1199999999999997E-2"/>
    <n v="259849.49"/>
    <n v="33080.22"/>
    <n v="0.14099999999999999"/>
    <n v="36638.78"/>
    <s v="LC at sight"/>
    <s v="A. Mehta"/>
    <s v="Synthetic sample row shaped by public steel product sales and shipment references"/>
  </r>
  <r>
    <s v="STL-2025-00527"/>
    <x v="146"/>
    <n v="2025"/>
    <x v="1"/>
    <s v="Q2"/>
    <x v="5"/>
    <s v="Bangladesh"/>
    <s v="Export distributor"/>
    <x v="1"/>
    <s v="Infrastructure"/>
    <x v="3"/>
    <x v="3"/>
    <s v="API 5L"/>
    <n v="5.4"/>
    <n v="224"/>
    <n v="11.8"/>
    <n v="82.35"/>
    <n v="1215.01"/>
    <n v="100056.07"/>
    <n v="4.4699999999999997E-2"/>
    <n v="95583.56"/>
    <n v="4866.33"/>
    <n v="0.127"/>
    <n v="12139.11"/>
    <s v="LC at sight"/>
    <s v="S. Kapoor"/>
    <s v="Synthetic sample row shaped by public steel product sales and shipment references"/>
  </r>
  <r>
    <s v="STL-2025-00530"/>
    <x v="147"/>
    <n v="2025"/>
    <x v="6"/>
    <s v="Q3"/>
    <x v="0"/>
    <s v="Japan"/>
    <s v="Domestic distributor"/>
    <x v="3"/>
    <s v="Shipbuilding"/>
    <x v="1"/>
    <x v="1"/>
    <s v="EN S355"/>
    <n v="28.39"/>
    <n v="3113"/>
    <n v="9.8000000000000007"/>
    <n v="87.6"/>
    <n v="1020.23"/>
    <n v="89372.15"/>
    <n v="5.6399999999999999E-2"/>
    <n v="84331.56"/>
    <n v="1890.3"/>
    <n v="0.14280000000000001"/>
    <n v="12042.55"/>
    <s v="Net 15"/>
    <s v="M. Alvarez"/>
    <s v="Synthetic sample row shaped by public steel product sales and shipment references"/>
  </r>
  <r>
    <s v="STL-2025-00531"/>
    <x v="52"/>
    <n v="2025"/>
    <x v="3"/>
    <s v="Q2"/>
    <x v="4"/>
    <s v="Indonesia"/>
    <s v="Export direct"/>
    <x v="4"/>
    <s v="Infrastructure"/>
    <x v="0"/>
    <x v="0"/>
    <s v="IS 1786"/>
    <n v="28.68"/>
    <n v="36"/>
    <n v="9.9"/>
    <n v="435.24"/>
    <n v="705.46"/>
    <n v="307044.40999999997"/>
    <n v="5.7700000000000001E-2"/>
    <n v="289327.95"/>
    <n v="30932.58"/>
    <n v="0.1797"/>
    <n v="51992.23"/>
    <s v="LC at sight"/>
    <s v="R. Iyer"/>
    <s v="Synthetic sample row shaped by public steel product sales and shipment references"/>
  </r>
  <r>
    <s v="STL-2025-00532"/>
    <x v="148"/>
    <n v="2025"/>
    <x v="9"/>
    <s v="Q1"/>
    <x v="1"/>
    <s v="Italy"/>
    <s v="Export direct"/>
    <x v="2"/>
    <s v="Construction"/>
    <x v="0"/>
    <x v="0"/>
    <s v="IS 1786"/>
    <n v="27.07"/>
    <n v="12"/>
    <n v="4.5999999999999996"/>
    <n v="715.41"/>
    <n v="711.7"/>
    <n v="509157.3"/>
    <n v="4.7800000000000002E-2"/>
    <n v="484819.58"/>
    <n v="60429.95"/>
    <n v="0.1399"/>
    <n v="67826.259999999995"/>
    <s v="Net 30"/>
    <s v="S. Kapoor"/>
    <s v="Synthetic sample row shaped by public steel product sales and shipment references"/>
  </r>
  <r>
    <s v="STL-2024-00534"/>
    <x v="149"/>
    <n v="2024"/>
    <x v="5"/>
    <s v="Q4"/>
    <x v="3"/>
    <s v="Canada"/>
    <s v="Domestic direct"/>
    <x v="6"/>
    <s v="Shipbuilding"/>
    <x v="1"/>
    <x v="1"/>
    <s v="JIS SM490"/>
    <n v="26.41"/>
    <n v="1738"/>
    <n v="7.7"/>
    <n v="14.32"/>
    <n v="1141.5999999999999"/>
    <n v="16347.71"/>
    <n v="3.56E-2"/>
    <n v="15765.73"/>
    <n v="303.36"/>
    <n v="0.13639999999999999"/>
    <n v="2150.4499999999998"/>
    <s v="Net 15"/>
    <s v="A. Mehta"/>
    <s v="Synthetic sample row shaped by public steel product sales and shipment references"/>
  </r>
  <r>
    <s v="STL-2025-00536"/>
    <x v="150"/>
    <n v="2025"/>
    <x v="5"/>
    <s v="Q4"/>
    <x v="1"/>
    <s v="Spain"/>
    <s v="Domestic direct"/>
    <x v="4"/>
    <s v="Construction"/>
    <x v="3"/>
    <x v="3"/>
    <s v="JIS G3444"/>
    <n v="6.52"/>
    <n v="273"/>
    <n v="11.6"/>
    <n v="197.04"/>
    <n v="1194.5899999999999"/>
    <n v="235382.01"/>
    <n v="2.23E-2"/>
    <n v="230132.99"/>
    <n v="6207.49"/>
    <n v="0.22650000000000001"/>
    <n v="52125.120000000003"/>
    <s v="Net 30"/>
    <s v="D. Chen"/>
    <s v="Synthetic sample row shaped by public steel product sales and shipment references"/>
  </r>
  <r>
    <s v="STL-2025-00537"/>
    <x v="125"/>
    <n v="2025"/>
    <x v="4"/>
    <s v="Q2"/>
    <x v="2"/>
    <s v="UAE"/>
    <s v="Domestic distributor"/>
    <x v="1"/>
    <s v="Energy"/>
    <x v="3"/>
    <x v="3"/>
    <s v="JIS G3444"/>
    <n v="11.1"/>
    <n v="358"/>
    <n v="9.5"/>
    <n v="72.19"/>
    <n v="1378.31"/>
    <n v="99500.2"/>
    <n v="5.3600000000000002E-2"/>
    <n v="94166.99"/>
    <n v="1323.34"/>
    <n v="0.254"/>
    <n v="23918.42"/>
    <s v="Net 15"/>
    <s v="D. Chen"/>
    <s v="Synthetic sample row shaped by public steel product sales and shipment references"/>
  </r>
  <r>
    <s v="STL-2024-00538"/>
    <x v="151"/>
    <n v="2024"/>
    <x v="0"/>
    <s v="Q3"/>
    <x v="5"/>
    <s v="Sri Lanka"/>
    <s v="Export direct"/>
    <x v="1"/>
    <s v="Energy"/>
    <x v="3"/>
    <x v="3"/>
    <s v="JIS G3444"/>
    <n v="6.23"/>
    <n v="320"/>
    <n v="9.9"/>
    <n v="251.64"/>
    <n v="1027.04"/>
    <n v="258444.35"/>
    <n v="4.58E-2"/>
    <n v="246607.6"/>
    <n v="21672.75"/>
    <n v="0.22819999999999999"/>
    <n v="56275.85"/>
    <s v="Net 15"/>
    <s v="F. Haddad"/>
    <s v="Synthetic sample row shaped by public steel product sales and shipment references"/>
  </r>
  <r>
    <s v="STL-2025-00541"/>
    <x v="152"/>
    <n v="2025"/>
    <x v="7"/>
    <s v="Q4"/>
    <x v="4"/>
    <s v="Thailand"/>
    <s v="Export distributor"/>
    <x v="0"/>
    <s v="Construction"/>
    <x v="3"/>
    <x v="3"/>
    <s v="API 5L"/>
    <n v="2.41"/>
    <n v="356"/>
    <n v="3.3"/>
    <n v="29.66"/>
    <n v="1210.73"/>
    <n v="35910.25"/>
    <n v="2.6200000000000001E-2"/>
    <n v="34969.4"/>
    <n v="2587.46"/>
    <n v="0.15659999999999999"/>
    <n v="5476.21"/>
    <s v="Net 45"/>
    <s v="K. Wilson"/>
    <s v="Synthetic sample row shaped by public steel product sales and shipment references"/>
  </r>
  <r>
    <s v="STL-2024-00542"/>
    <x v="153"/>
    <n v="2024"/>
    <x v="10"/>
    <s v="Q3"/>
    <x v="5"/>
    <s v="Sri Lanka"/>
    <s v="Export direct"/>
    <x v="4"/>
    <s v="Energy"/>
    <x v="2"/>
    <x v="2"/>
    <s v="API N80"/>
    <n v="14.16"/>
    <n v="264"/>
    <n v="3.5"/>
    <n v="164.71"/>
    <n v="1262.26"/>
    <n v="207906.84"/>
    <n v="3.7600000000000001E-2"/>
    <n v="200089.54"/>
    <n v="12004.78"/>
    <n v="0.1827"/>
    <n v="36556.36"/>
    <s v="LC at sight"/>
    <s v="N. Sharma"/>
    <s v="Synthetic sample row shaped by public steel product sales and shipment references"/>
  </r>
  <r>
    <s v="STL-2025-00543"/>
    <x v="154"/>
    <n v="2025"/>
    <x v="2"/>
    <s v="Q1"/>
    <x v="4"/>
    <s v="Vietnam"/>
    <s v="Domestic direct"/>
    <x v="7"/>
    <s v="Energy"/>
    <x v="2"/>
    <x v="2"/>
    <s v="API J55"/>
    <n v="12.85"/>
    <n v="102"/>
    <n v="4.5"/>
    <n v="45.69"/>
    <n v="1558.35"/>
    <n v="71201.009999999995"/>
    <n v="1.9E-2"/>
    <n v="69848.19"/>
    <n v="1016.4"/>
    <n v="0.20979999999999999"/>
    <n v="14654.15"/>
    <s v="Net 15"/>
    <s v="N. Sharma"/>
    <s v="Synthetic sample row shaped by public steel product sales and shipment references"/>
  </r>
  <r>
    <s v="STL-2025-00546"/>
    <x v="155"/>
    <n v="2025"/>
    <x v="1"/>
    <s v="Q2"/>
    <x v="6"/>
    <s v="South Africa"/>
    <s v="Domestic distributor"/>
    <x v="0"/>
    <s v="Construction"/>
    <x v="0"/>
    <x v="0"/>
    <s v="B500B"/>
    <n v="11.1"/>
    <n v="24"/>
    <n v="8.1999999999999993"/>
    <n v="189.09"/>
    <n v="736.98"/>
    <n v="139355.54999999999"/>
    <n v="3.3500000000000002E-2"/>
    <n v="134687.14000000001"/>
    <n v="7790.02"/>
    <n v="0.21740000000000001"/>
    <n v="29280.98"/>
    <s v="Advance"/>
    <s v="A. Mehta"/>
    <s v="Synthetic sample row shaped by public steel product sales and shipment references"/>
  </r>
  <r>
    <s v="STL-2025-00549"/>
    <x v="156"/>
    <n v="2025"/>
    <x v="11"/>
    <s v="Q4"/>
    <x v="2"/>
    <s v="Qatar"/>
    <s v="Domestic direct"/>
    <x v="4"/>
    <s v="Infrastructure"/>
    <x v="0"/>
    <x v="0"/>
    <s v="IS 1786"/>
    <n v="14"/>
    <n v="39"/>
    <n v="3.1"/>
    <n v="621.70000000000005"/>
    <n v="742.71"/>
    <n v="461742.81"/>
    <n v="4.4499999999999998E-2"/>
    <n v="441195.25"/>
    <n v="19151.78"/>
    <n v="0.19189999999999999"/>
    <n v="84665.37"/>
    <s v="Net 15"/>
    <s v="R. Iyer"/>
    <s v="Synthetic sample row shaped by public steel product sales and shipment references"/>
  </r>
  <r>
    <s v="STL-2025-00550"/>
    <x v="157"/>
    <n v="2025"/>
    <x v="6"/>
    <s v="Q3"/>
    <x v="4"/>
    <s v="Indonesia"/>
    <s v="Domestic direct"/>
    <x v="1"/>
    <s v="Shipbuilding"/>
    <x v="1"/>
    <x v="1"/>
    <s v="ASTM A572"/>
    <n v="35.44"/>
    <n v="2701"/>
    <n v="10.6"/>
    <n v="143.69"/>
    <n v="984.86"/>
    <n v="141514.53"/>
    <n v="2.3099999999999999E-2"/>
    <n v="138245.54"/>
    <n v="4601.38"/>
    <n v="0.19639999999999999"/>
    <n v="27151.42"/>
    <s v="Advance"/>
    <s v="A. Mehta"/>
    <s v="Synthetic sample row shaped by public steel product sales and shipment references"/>
  </r>
  <r>
    <s v="STL-2024-00555"/>
    <x v="158"/>
    <n v="2024"/>
    <x v="7"/>
    <s v="Q4"/>
    <x v="5"/>
    <s v="India"/>
    <s v="Export distributor"/>
    <x v="6"/>
    <s v="Shipbuilding"/>
    <x v="1"/>
    <x v="1"/>
    <s v="ASTM A572"/>
    <n v="30.45"/>
    <n v="1747"/>
    <n v="6.7"/>
    <n v="50.74"/>
    <n v="1102.8399999999999"/>
    <n v="55958.1"/>
    <n v="3.2000000000000001E-2"/>
    <n v="54167.44"/>
    <n v="4328.1099999999997"/>
    <n v="0.23549999999999999"/>
    <n v="12756.43"/>
    <s v="Advance"/>
    <s v="F. Haddad"/>
    <s v="Synthetic sample row shaped by public steel product sales and shipment references"/>
  </r>
  <r>
    <s v="STL-2024-00556"/>
    <x v="159"/>
    <n v="2024"/>
    <x v="5"/>
    <s v="Q4"/>
    <x v="2"/>
    <s v="Saudi Arabia"/>
    <s v="Domestic direct"/>
    <x v="0"/>
    <s v="Energy"/>
    <x v="3"/>
    <x v="3"/>
    <s v="JIS G3444"/>
    <n v="13.24"/>
    <n v="342"/>
    <n v="11.1"/>
    <n v="123.61"/>
    <n v="1210.06"/>
    <n v="149575.51999999999"/>
    <n v="2.5700000000000001E-2"/>
    <n v="145731.43"/>
    <n v="2652.12"/>
    <n v="0.22020000000000001"/>
    <n v="32090.06"/>
    <s v="Net 45"/>
    <s v="F. Haddad"/>
    <s v="Synthetic sample row shaped by public steel product sales and shipment references"/>
  </r>
  <r>
    <s v="STL-2025-00563"/>
    <x v="89"/>
    <n v="2025"/>
    <x v="0"/>
    <s v="Q3"/>
    <x v="4"/>
    <s v="Thailand"/>
    <s v="Export distributor"/>
    <x v="2"/>
    <s v="Energy"/>
    <x v="2"/>
    <x v="2"/>
    <s v="API N80"/>
    <n v="17.18"/>
    <n v="106"/>
    <n v="7.4"/>
    <n v="18.82"/>
    <n v="1391.45"/>
    <n v="26187.09"/>
    <n v="5.1700000000000003E-2"/>
    <n v="24833.22"/>
    <n v="1430.32"/>
    <n v="0.19320000000000001"/>
    <n v="4797.78"/>
    <s v="Net 15"/>
    <s v="K. Wilson"/>
    <s v="Synthetic sample row shaped by public steel product sales and shipment references"/>
  </r>
  <r>
    <s v="STL-2024-00564"/>
    <x v="143"/>
    <n v="2024"/>
    <x v="9"/>
    <s v="Q1"/>
    <x v="1"/>
    <s v="Poland"/>
    <s v="Domestic direct"/>
    <x v="1"/>
    <s v="Energy"/>
    <x v="2"/>
    <x v="2"/>
    <s v="API N80"/>
    <n v="6.15"/>
    <n v="106"/>
    <n v="8.6999999999999993"/>
    <n v="186.39"/>
    <n v="1581.78"/>
    <n v="294827.96999999997"/>
    <n v="4.19E-2"/>
    <n v="282474.68"/>
    <n v="7010.82"/>
    <n v="0.2107"/>
    <n v="59517.42"/>
    <s v="Net 15"/>
    <s v="K. Wilson"/>
    <s v="Synthetic sample row shaped by public steel product sales and shipment references"/>
  </r>
  <r>
    <s v="STL-2025-00566"/>
    <x v="160"/>
    <n v="2025"/>
    <x v="0"/>
    <s v="Q3"/>
    <x v="1"/>
    <s v="Italy"/>
    <s v="Domestic distributor"/>
    <x v="5"/>
    <s v="Energy"/>
    <x v="2"/>
    <x v="2"/>
    <s v="API J55"/>
    <n v="13.15"/>
    <n v="267"/>
    <n v="8.4"/>
    <n v="27.08"/>
    <n v="1378.7"/>
    <n v="37335.199999999997"/>
    <n v="5.4100000000000002E-2"/>
    <n v="35315.370000000003"/>
    <n v="1126.76"/>
    <n v="0.18260000000000001"/>
    <n v="6448.59"/>
    <s v="Advance"/>
    <s v="K. Wilson"/>
    <s v="Synthetic sample row shaped by public steel product sales and shipment references"/>
  </r>
  <r>
    <s v="STL-2024-00576"/>
    <x v="161"/>
    <n v="2024"/>
    <x v="7"/>
    <s v="Q4"/>
    <x v="5"/>
    <s v="India"/>
    <s v="Domestic distributor"/>
    <x v="1"/>
    <s v="Shipbuilding"/>
    <x v="1"/>
    <x v="1"/>
    <s v="JIS SM490"/>
    <n v="59.65"/>
    <n v="3172"/>
    <n v="5.6"/>
    <n v="108.07"/>
    <n v="1130.5899999999999"/>
    <n v="122182.86"/>
    <n v="4.1399999999999999E-2"/>
    <n v="117124.49"/>
    <n v="2928.61"/>
    <n v="0.1216"/>
    <n v="14242.34"/>
    <s v="Net 30"/>
    <s v="S. Kapoor"/>
    <s v="Synthetic sample row shaped by public steel product sales and shipment references"/>
  </r>
  <r>
    <s v="STL-2025-00583"/>
    <x v="162"/>
    <n v="2025"/>
    <x v="2"/>
    <s v="Q1"/>
    <x v="4"/>
    <s v="Malaysia"/>
    <s v="Domestic direct"/>
    <x v="4"/>
    <s v="Industrial machinery"/>
    <x v="1"/>
    <x v="1"/>
    <s v="ASTM A572"/>
    <n v="55.14"/>
    <n v="2071"/>
    <n v="9.3000000000000007"/>
    <n v="28.48"/>
    <n v="1120.3800000000001"/>
    <n v="31908.42"/>
    <n v="3.0099999999999998E-2"/>
    <n v="30947.98"/>
    <n v="1005.85"/>
    <n v="0.21199999999999999"/>
    <n v="6560.97"/>
    <s v="Net 30"/>
    <s v="N. Sharma"/>
    <s v="Synthetic sample row shaped by public steel product sales and shipment references"/>
  </r>
  <r>
    <s v="STL-2025-00586"/>
    <x v="163"/>
    <n v="2025"/>
    <x v="7"/>
    <s v="Q4"/>
    <x v="2"/>
    <s v="UAE"/>
    <s v="Domestic distributor"/>
    <x v="5"/>
    <s v="Energy"/>
    <x v="3"/>
    <x v="3"/>
    <s v="API 5L"/>
    <n v="13.44"/>
    <n v="287"/>
    <n v="9.6999999999999993"/>
    <n v="10.56"/>
    <n v="1303.58"/>
    <n v="13765.8"/>
    <n v="4.4499999999999998E-2"/>
    <n v="13153.22"/>
    <n v="293.24"/>
    <n v="0.24"/>
    <n v="3156.77"/>
    <s v="Advance"/>
    <s v="F. Haddad"/>
    <s v="Synthetic sample row shaped by public steel product sales and shipment references"/>
  </r>
  <r>
    <s v="STL-2025-00588"/>
    <x v="145"/>
    <n v="2025"/>
    <x v="0"/>
    <s v="Q3"/>
    <x v="3"/>
    <s v="United States"/>
    <s v="Export direct"/>
    <x v="1"/>
    <s v="Construction"/>
    <x v="3"/>
    <x v="3"/>
    <s v="JIS G3444"/>
    <n v="7.42"/>
    <n v="188"/>
    <n v="8.1"/>
    <n v="32.07"/>
    <n v="1270.1600000000001"/>
    <n v="40734.03"/>
    <n v="3.56E-2"/>
    <n v="39283.9"/>
    <n v="1853.18"/>
    <n v="0.158"/>
    <n v="6206.86"/>
    <s v="Net 30"/>
    <s v="M. Alvarez"/>
    <s v="Synthetic sample row shaped by public steel product sales and shipment references"/>
  </r>
  <r>
    <s v="STL-2024-00592"/>
    <x v="158"/>
    <n v="2024"/>
    <x v="7"/>
    <s v="Q4"/>
    <x v="1"/>
    <s v="Italy"/>
    <s v="Export direct"/>
    <x v="7"/>
    <s v="Energy"/>
    <x v="2"/>
    <x v="2"/>
    <s v="API J55"/>
    <n v="5.44"/>
    <n v="295"/>
    <n v="5.4"/>
    <n v="175.01"/>
    <n v="1690.22"/>
    <n v="295805.40000000002"/>
    <n v="4.0099999999999997E-2"/>
    <n v="283943.59999999998"/>
    <n v="14342.57"/>
    <n v="0.26700000000000002"/>
    <n v="75812.94"/>
    <s v="Advance"/>
    <s v="M. Alvarez"/>
    <s v="Synthetic sample row shaped by public steel product sales and shipment references"/>
  </r>
  <r>
    <s v="STL-2024-00596"/>
    <x v="164"/>
    <n v="2024"/>
    <x v="6"/>
    <s v="Q3"/>
    <x v="3"/>
    <s v="Mexico"/>
    <s v="Export direct"/>
    <x v="2"/>
    <s v="Energy"/>
    <x v="1"/>
    <x v="1"/>
    <s v="ASTM A516"/>
    <n v="28.97"/>
    <n v="2509"/>
    <n v="8.1999999999999993"/>
    <n v="174.2"/>
    <n v="1186.24"/>
    <n v="206643.01"/>
    <n v="1.9E-2"/>
    <n v="202716.79"/>
    <n v="14401.93"/>
    <n v="0.2225"/>
    <n v="45104.49"/>
    <s v="Advance"/>
    <s v="F. Haddad"/>
    <s v="Synthetic sample row shaped by public steel product sales and shipment references"/>
  </r>
  <r>
    <s v="STL-2024-00601"/>
    <x v="165"/>
    <n v="2024"/>
    <x v="0"/>
    <s v="Q3"/>
    <x v="6"/>
    <s v="Egypt"/>
    <s v="Domestic direct"/>
    <x v="0"/>
    <s v="Infrastructure"/>
    <x v="0"/>
    <x v="0"/>
    <s v="BS 4449"/>
    <n v="17.66"/>
    <n v="28"/>
    <n v="3.4"/>
    <n v="395.09"/>
    <n v="684.79"/>
    <n v="270553.68"/>
    <n v="5.6000000000000001E-2"/>
    <n v="255402.67"/>
    <n v="15994.81"/>
    <n v="0.26860000000000001"/>
    <n v="68601.16"/>
    <s v="LC at sight"/>
    <s v="K. Wilson"/>
    <s v="Synthetic sample row shaped by public steel product sales and shipment references"/>
  </r>
  <r>
    <s v="STL-2024-00603"/>
    <x v="166"/>
    <n v="2024"/>
    <x v="4"/>
    <s v="Q2"/>
    <x v="4"/>
    <s v="Indonesia"/>
    <s v="Domestic direct"/>
    <x v="3"/>
    <s v="Construction"/>
    <x v="0"/>
    <x v="0"/>
    <s v="BS 4449"/>
    <n v="17.89"/>
    <n v="38"/>
    <n v="5.0999999999999996"/>
    <n v="247.77"/>
    <n v="696.84"/>
    <n v="172656.05"/>
    <n v="5.0299999999999997E-2"/>
    <n v="163971.45000000001"/>
    <n v="5652.08"/>
    <n v="0.21859999999999999"/>
    <n v="35844.160000000003"/>
    <s v="Net 15"/>
    <s v="A. Mehta"/>
    <s v="Synthetic sample row shaped by public steel product sales and shipment references"/>
  </r>
  <r>
    <s v="STL-2024-00604"/>
    <x v="167"/>
    <n v="2024"/>
    <x v="1"/>
    <s v="Q2"/>
    <x v="5"/>
    <s v="Sri Lanka"/>
    <s v="Export distributor"/>
    <x v="2"/>
    <s v="Infrastructure"/>
    <x v="3"/>
    <x v="3"/>
    <s v="ASTM A53"/>
    <n v="10.26"/>
    <n v="232"/>
    <n v="12"/>
    <n v="27.23"/>
    <n v="1068.47"/>
    <n v="29094.44"/>
    <n v="5.2200000000000003E-2"/>
    <n v="27575.71"/>
    <n v="2164.09"/>
    <n v="0.25800000000000001"/>
    <n v="7114.53"/>
    <s v="Net 45"/>
    <s v="A. Mehta"/>
    <s v="Synthetic sample row shaped by public steel product sales and shipment references"/>
  </r>
  <r>
    <s v="STL-2024-00617"/>
    <x v="168"/>
    <n v="2024"/>
    <x v="11"/>
    <s v="Q4"/>
    <x v="5"/>
    <s v="Sri Lanka"/>
    <s v="Export direct"/>
    <x v="0"/>
    <s v="Infrastructure"/>
    <x v="0"/>
    <x v="0"/>
    <s v="B500B"/>
    <n v="37.130000000000003"/>
    <n v="21"/>
    <n v="11.2"/>
    <n v="302.37"/>
    <n v="778.65"/>
    <n v="235440.4"/>
    <n v="3.7999999999999999E-2"/>
    <n v="226493.66"/>
    <n v="25789.360000000001"/>
    <n v="0.1731"/>
    <n v="39206.050000000003"/>
    <s v="LC at sight"/>
    <s v="N. Sharma"/>
    <s v="Synthetic sample row shaped by public steel product sales and shipment references"/>
  </r>
  <r>
    <s v="STL-2025-00621"/>
    <x v="169"/>
    <n v="2025"/>
    <x v="3"/>
    <s v="Q2"/>
    <x v="4"/>
    <s v="Indonesia"/>
    <s v="Export direct"/>
    <x v="1"/>
    <s v="Energy"/>
    <x v="2"/>
    <x v="2"/>
    <s v="API N80"/>
    <n v="5.1100000000000003"/>
    <n v="197"/>
    <n v="11"/>
    <n v="200.19"/>
    <n v="1454.66"/>
    <n v="291208.39"/>
    <n v="3.9300000000000002E-2"/>
    <n v="279763.90000000002"/>
    <n v="17002.689999999999"/>
    <n v="0.2641"/>
    <n v="73885.649999999994"/>
    <s v="LC at sight"/>
    <s v="N. Sharma"/>
    <s v="Synthetic sample row shaped by public steel product sales and shipment references"/>
  </r>
  <r>
    <s v="STL-2024-00623"/>
    <x v="170"/>
    <n v="2024"/>
    <x v="11"/>
    <s v="Q4"/>
    <x v="2"/>
    <s v="Saudi Arabia"/>
    <s v="Export distributor"/>
    <x v="1"/>
    <s v="Infrastructure"/>
    <x v="3"/>
    <x v="3"/>
    <s v="JIS G3444"/>
    <n v="15.6"/>
    <n v="553"/>
    <n v="5.3"/>
    <n v="163.5"/>
    <n v="1393.85"/>
    <n v="227894.47"/>
    <n v="2.6100000000000002E-2"/>
    <n v="221946.42"/>
    <n v="14913.98"/>
    <n v="0.20039999999999999"/>
    <n v="44478.06"/>
    <s v="Net 15"/>
    <s v="K. Wilson"/>
    <s v="Synthetic sample row shaped by public steel product sales and shipment references"/>
  </r>
  <r>
    <s v="STL-2025-00625"/>
    <x v="171"/>
    <n v="2025"/>
    <x v="10"/>
    <s v="Q3"/>
    <x v="0"/>
    <s v="Japan"/>
    <s v="Export distributor"/>
    <x v="0"/>
    <s v="Infrastructure"/>
    <x v="0"/>
    <x v="0"/>
    <s v="IS 1786"/>
    <n v="17.5"/>
    <n v="33"/>
    <n v="3.1"/>
    <n v="307.74"/>
    <n v="692.8"/>
    <n v="213202.27"/>
    <n v="5.91E-2"/>
    <n v="200602.02"/>
    <n v="26955.29"/>
    <n v="0.1298"/>
    <n v="26038.14"/>
    <s v="Net 15"/>
    <s v="F. Haddad"/>
    <s v="Synthetic sample row shaped by public steel product sales and shipment references"/>
  </r>
  <r>
    <s v="STL-2025-00627"/>
    <x v="132"/>
    <n v="2025"/>
    <x v="8"/>
    <s v="Q1"/>
    <x v="3"/>
    <s v="Canada"/>
    <s v="Domestic direct"/>
    <x v="7"/>
    <s v="Shipbuilding"/>
    <x v="1"/>
    <x v="1"/>
    <s v="EN S355"/>
    <n v="47.94"/>
    <n v="1538"/>
    <n v="3.7"/>
    <n v="184.9"/>
    <n v="1183.73"/>
    <n v="218871.67999999999"/>
    <n v="5.1400000000000001E-2"/>
    <n v="207621.68"/>
    <n v="3650.87"/>
    <n v="0.2606"/>
    <n v="54106.21"/>
    <s v="Advance"/>
    <s v="M. Alvarez"/>
    <s v="Synthetic sample row shaped by public steel product sales and shipment references"/>
  </r>
  <r>
    <s v="STL-2024-00628"/>
    <x v="172"/>
    <n v="2024"/>
    <x v="2"/>
    <s v="Q1"/>
    <x v="3"/>
    <s v="Canada"/>
    <s v="Export distributor"/>
    <x v="6"/>
    <s v="Shipbuilding"/>
    <x v="1"/>
    <x v="1"/>
    <s v="EN S355"/>
    <n v="48.2"/>
    <n v="2139"/>
    <n v="8.6999999999999993"/>
    <n v="82.77"/>
    <n v="1323.62"/>
    <n v="109556.03"/>
    <n v="3.6200000000000003E-2"/>
    <n v="105590.1"/>
    <n v="6649"/>
    <n v="0.22689999999999999"/>
    <n v="23958.39"/>
    <s v="LC at sight"/>
    <s v="D. Chen"/>
    <s v="Synthetic sample row shaped by public steel product sales and shipment references"/>
  </r>
  <r>
    <s v="STL-2025-00630"/>
    <x v="173"/>
    <n v="2025"/>
    <x v="10"/>
    <s v="Q3"/>
    <x v="5"/>
    <s v="India"/>
    <s v="Export direct"/>
    <x v="2"/>
    <s v="Infrastructure"/>
    <x v="0"/>
    <x v="0"/>
    <s v="ASTM A615"/>
    <n v="31.97"/>
    <n v="16"/>
    <n v="9.3000000000000007"/>
    <n v="601.65"/>
    <n v="650.35"/>
    <n v="391283.08"/>
    <n v="5.2999999999999999E-2"/>
    <n v="370545.08"/>
    <n v="55644.56"/>
    <n v="0.14169999999999999"/>
    <n v="52506.239999999998"/>
    <s v="Net 45"/>
    <s v="F. Haddad"/>
    <s v="Synthetic sample row shaped by public steel product sales and shipment references"/>
  </r>
  <r>
    <s v="STL-2025-00631"/>
    <x v="174"/>
    <n v="2025"/>
    <x v="7"/>
    <s v="Q4"/>
    <x v="6"/>
    <s v="Kenya"/>
    <s v="Domestic direct"/>
    <x v="3"/>
    <s v="Energy"/>
    <x v="2"/>
    <x v="2"/>
    <s v="API N80"/>
    <n v="11.94"/>
    <n v="288"/>
    <n v="8.6"/>
    <n v="114.47"/>
    <n v="1445.23"/>
    <n v="165435.48000000001"/>
    <n v="5.5300000000000002E-2"/>
    <n v="156286.9"/>
    <n v="3189.53"/>
    <n v="0.19170000000000001"/>
    <n v="29960.2"/>
    <s v="Net 30"/>
    <s v="N. Sharma"/>
    <s v="Synthetic sample row shaped by public steel product sales and shipment references"/>
  </r>
  <r>
    <s v="STL-2025-00634"/>
    <x v="175"/>
    <n v="2025"/>
    <x v="9"/>
    <s v="Q1"/>
    <x v="2"/>
    <s v="Qatar"/>
    <s v="Domestic direct"/>
    <x v="3"/>
    <s v="Industrial machinery"/>
    <x v="1"/>
    <x v="1"/>
    <s v="JIS SM490"/>
    <n v="43.2"/>
    <n v="3102"/>
    <n v="11.2"/>
    <n v="165.7"/>
    <n v="1099.96"/>
    <n v="182263.37"/>
    <n v="4.9399999999999999E-2"/>
    <n v="173259.56"/>
    <n v="3268.61"/>
    <n v="0.2087"/>
    <n v="36159.269999999997"/>
    <s v="LC at sight"/>
    <s v="R. Iyer"/>
    <s v="Synthetic sample row shaped by public steel product sales and shipment references"/>
  </r>
  <r>
    <s v="STL-2024-00636"/>
    <x v="176"/>
    <n v="2024"/>
    <x v="11"/>
    <s v="Q4"/>
    <x v="6"/>
    <s v="Kenya"/>
    <s v="Domestic distributor"/>
    <x v="7"/>
    <s v="Energy"/>
    <x v="2"/>
    <x v="2"/>
    <s v="API P110"/>
    <n v="14.62"/>
    <n v="209"/>
    <n v="4.8"/>
    <n v="19.87"/>
    <n v="1518.14"/>
    <n v="30165.439999999999"/>
    <n v="1.7500000000000002E-2"/>
    <n v="29637.54"/>
    <n v="509.76"/>
    <n v="0.20730000000000001"/>
    <n v="6143.86"/>
    <s v="Net 30"/>
    <s v="S. Kapoor"/>
    <s v="Synthetic sample row shaped by public steel product sales and shipment references"/>
  </r>
  <r>
    <s v="STL-2024-00640"/>
    <x v="177"/>
    <n v="2024"/>
    <x v="3"/>
    <s v="Q2"/>
    <x v="6"/>
    <s v="Kenya"/>
    <s v="Export distributor"/>
    <x v="7"/>
    <s v="Shipbuilding"/>
    <x v="1"/>
    <x v="1"/>
    <s v="ASTM A572"/>
    <n v="56.17"/>
    <n v="2896"/>
    <n v="5.4"/>
    <n v="91.96"/>
    <n v="1134.8399999999999"/>
    <n v="104359.89"/>
    <n v="4.3299999999999998E-2"/>
    <n v="99841.11"/>
    <n v="7832.35"/>
    <n v="0.191"/>
    <n v="19069.650000000001"/>
    <s v="Net 15"/>
    <s v="D. Chen"/>
    <s v="Synthetic sample row shaped by public steel product sales and shipment references"/>
  </r>
  <r>
    <s v="STL-2025-00646"/>
    <x v="63"/>
    <n v="2025"/>
    <x v="7"/>
    <s v="Q4"/>
    <x v="1"/>
    <s v="Spain"/>
    <s v="Domestic direct"/>
    <x v="5"/>
    <s v="Infrastructure"/>
    <x v="0"/>
    <x v="0"/>
    <s v="BS 4449"/>
    <n v="26.33"/>
    <n v="27"/>
    <n v="8"/>
    <n v="125.11"/>
    <n v="720.59"/>
    <n v="90153.01"/>
    <n v="3.1899999999999998E-2"/>
    <n v="87277.13"/>
    <n v="3648.13"/>
    <n v="0.26750000000000002"/>
    <n v="23346.63"/>
    <s v="Net 45"/>
    <s v="F. Haddad"/>
    <s v="Synthetic sample row shaped by public steel product sales and shipment references"/>
  </r>
  <r>
    <s v="STL-2024-00647"/>
    <x v="178"/>
    <n v="2024"/>
    <x v="0"/>
    <s v="Q3"/>
    <x v="3"/>
    <s v="United States"/>
    <s v="Domestic distributor"/>
    <x v="3"/>
    <s v="Infrastructure"/>
    <x v="0"/>
    <x v="0"/>
    <s v="B500B"/>
    <n v="17.36"/>
    <n v="35"/>
    <n v="7"/>
    <n v="193.79"/>
    <n v="696.41"/>
    <n v="134957.29"/>
    <n v="4.9599999999999998E-2"/>
    <n v="128263.41"/>
    <n v="5397.25"/>
    <n v="0.1346"/>
    <n v="17264.25"/>
    <s v="LC at sight"/>
    <s v="M. Alvarez"/>
    <s v="Synthetic sample row shaped by public steel product sales and shipment references"/>
  </r>
  <r>
    <s v="STL-2024-00648"/>
    <x v="179"/>
    <n v="2024"/>
    <x v="3"/>
    <s v="Q2"/>
    <x v="5"/>
    <s v="Sri Lanka"/>
    <s v="Export direct"/>
    <x v="7"/>
    <s v="Infrastructure"/>
    <x v="0"/>
    <x v="0"/>
    <s v="B500B"/>
    <n v="16.29"/>
    <n v="10"/>
    <n v="7.6"/>
    <n v="513.91999999999996"/>
    <n v="774.34"/>
    <n v="397948.81"/>
    <n v="6.6699999999999995E-2"/>
    <n v="371405.62"/>
    <n v="35883.730000000003"/>
    <n v="0.1079"/>
    <n v="40074.67"/>
    <s v="Net 30"/>
    <s v="F. Haddad"/>
    <s v="Synthetic sample row shaped by public steel product sales and shipment references"/>
  </r>
  <r>
    <s v="STL-2024-00650"/>
    <x v="180"/>
    <n v="2024"/>
    <x v="0"/>
    <s v="Q3"/>
    <x v="5"/>
    <s v="Bangladesh"/>
    <s v="Domestic direct"/>
    <x v="1"/>
    <s v="Energy"/>
    <x v="2"/>
    <x v="2"/>
    <s v="API J55"/>
    <n v="11.77"/>
    <n v="288"/>
    <n v="8.4"/>
    <n v="99.25"/>
    <n v="1477.88"/>
    <n v="146679.59"/>
    <n v="3.9899999999999998E-2"/>
    <n v="140827.07"/>
    <n v="3905.35"/>
    <n v="0.1767"/>
    <n v="24884.14"/>
    <s v="Net 15"/>
    <s v="D. Chen"/>
    <s v="Synthetic sample row shaped by public steel product sales and shipment references"/>
  </r>
  <r>
    <s v="STL-2025-00651"/>
    <x v="181"/>
    <n v="2025"/>
    <x v="3"/>
    <s v="Q2"/>
    <x v="2"/>
    <s v="Qatar"/>
    <s v="Domestic distributor"/>
    <x v="4"/>
    <s v="Energy"/>
    <x v="3"/>
    <x v="3"/>
    <s v="JIS G3444"/>
    <n v="9.9700000000000006"/>
    <n v="243"/>
    <n v="7.2"/>
    <n v="106.37"/>
    <n v="1428.59"/>
    <n v="151959.12"/>
    <n v="3.1899999999999998E-2"/>
    <n v="147111.62"/>
    <n v="2047.74"/>
    <n v="0.12759999999999999"/>
    <n v="18771.439999999999"/>
    <s v="Net 45"/>
    <s v="R. Iyer"/>
    <s v="Synthetic sample row shaped by public steel product sales and shipment references"/>
  </r>
  <r>
    <s v="STL-2024-00653"/>
    <x v="182"/>
    <n v="2024"/>
    <x v="0"/>
    <s v="Q3"/>
    <x v="5"/>
    <s v="Sri Lanka"/>
    <s v="Domestic distributor"/>
    <x v="3"/>
    <s v="Energy"/>
    <x v="2"/>
    <x v="2"/>
    <s v="API L80"/>
    <n v="7.41"/>
    <n v="111"/>
    <n v="3.8"/>
    <n v="117.8"/>
    <n v="1255.5"/>
    <n v="147897.9"/>
    <n v="2.58E-2"/>
    <n v="144082.13"/>
    <n v="2806.8"/>
    <n v="0.21560000000000001"/>
    <n v="31064.11"/>
    <s v="Net 15"/>
    <s v="D. Chen"/>
    <s v="Synthetic sample row shaped by public steel product sales and shipment references"/>
  </r>
  <r>
    <s v="STL-2025-00660"/>
    <x v="183"/>
    <n v="2025"/>
    <x v="8"/>
    <s v="Q1"/>
    <x v="0"/>
    <s v="Japan"/>
    <s v="Export direct"/>
    <x v="1"/>
    <s v="Shipbuilding"/>
    <x v="1"/>
    <x v="1"/>
    <s v="JIS SM490"/>
    <n v="30.23"/>
    <n v="1746"/>
    <n v="10.199999999999999"/>
    <n v="204.27"/>
    <n v="1151.5999999999999"/>
    <n v="235237.33"/>
    <n v="3.5799999999999998E-2"/>
    <n v="226815.83"/>
    <n v="17035.599999999999"/>
    <n v="0.24629999999999999"/>
    <n v="55864.74"/>
    <s v="Net 15"/>
    <s v="K. Wilson"/>
    <s v="Synthetic sample row shaped by public steel product sales and shipment references"/>
  </r>
  <r>
    <s v="STL-2024-00663"/>
    <x v="184"/>
    <n v="2024"/>
    <x v="0"/>
    <s v="Q3"/>
    <x v="0"/>
    <s v="Japan"/>
    <s v="Domestic direct"/>
    <x v="1"/>
    <s v="Construction"/>
    <x v="3"/>
    <x v="3"/>
    <s v="EN 10219"/>
    <n v="6.09"/>
    <n v="492"/>
    <n v="8.6999999999999993"/>
    <n v="160.16999999999999"/>
    <n v="1159.72"/>
    <n v="185752.35"/>
    <n v="1.8700000000000001E-2"/>
    <n v="182278.78"/>
    <n v="4797.8100000000004"/>
    <n v="0.23549999999999999"/>
    <n v="42926.65"/>
    <s v="Net 30"/>
    <s v="M. Alvarez"/>
    <s v="Synthetic sample row shaped by public steel product sales and shipment references"/>
  </r>
  <r>
    <s v="STL-2024-00666"/>
    <x v="185"/>
    <n v="2024"/>
    <x v="4"/>
    <s v="Q2"/>
    <x v="2"/>
    <s v="Qatar"/>
    <s v="Domestic distributor"/>
    <x v="0"/>
    <s v="Construction"/>
    <x v="0"/>
    <x v="0"/>
    <s v="B500B"/>
    <n v="16.18"/>
    <n v="22"/>
    <n v="8.3000000000000007"/>
    <n v="237.66"/>
    <n v="827.36"/>
    <n v="196630.38"/>
    <n v="4.1099999999999998E-2"/>
    <n v="188548.87"/>
    <n v="8016.67"/>
    <n v="0.18079999999999999"/>
    <n v="34089.64"/>
    <s v="LC at sight"/>
    <s v="A. Mehta"/>
    <s v="Synthetic sample row shaped by public steel product sales and shipment references"/>
  </r>
  <r>
    <s v="STL-2025-00670"/>
    <x v="186"/>
    <n v="2025"/>
    <x v="2"/>
    <s v="Q1"/>
    <x v="1"/>
    <s v="Spain"/>
    <s v="Domestic direct"/>
    <x v="4"/>
    <s v="Infrastructure"/>
    <x v="3"/>
    <x v="3"/>
    <s v="API 5L"/>
    <n v="9.85"/>
    <n v="409"/>
    <n v="5.2"/>
    <n v="113.88"/>
    <n v="1288.55"/>
    <n v="146740.07"/>
    <n v="2.3E-2"/>
    <n v="143365.04999999999"/>
    <n v="4043.45"/>
    <n v="0.1321"/>
    <n v="18938.52"/>
    <s v="Net 45"/>
    <s v="K. Wilson"/>
    <s v="Synthetic sample row shaped by public steel product sales and shipment references"/>
  </r>
  <r>
    <s v="STL-2025-00671"/>
    <x v="187"/>
    <n v="2025"/>
    <x v="10"/>
    <s v="Q3"/>
    <x v="0"/>
    <s v="Japan"/>
    <s v="Domestic distributor"/>
    <x v="2"/>
    <s v="Energy"/>
    <x v="3"/>
    <x v="3"/>
    <s v="ASTM A53"/>
    <n v="8.9"/>
    <n v="527"/>
    <n v="5.0999999999999996"/>
    <n v="13.91"/>
    <n v="1138.77"/>
    <n v="15840.29"/>
    <n v="3.6700000000000003E-2"/>
    <n v="15258.95"/>
    <n v="276.05"/>
    <n v="0.15310000000000001"/>
    <n v="2336.15"/>
    <s v="Net 15"/>
    <s v="N. Sharma"/>
    <s v="Synthetic sample row shaped by public steel product sales and shipment references"/>
  </r>
  <r>
    <s v="STL-2025-00676"/>
    <x v="188"/>
    <n v="2025"/>
    <x v="5"/>
    <s v="Q4"/>
    <x v="4"/>
    <s v="Vietnam"/>
    <s v="Domestic distributor"/>
    <x v="3"/>
    <s v="Construction"/>
    <x v="3"/>
    <x v="3"/>
    <s v="JIS G3444"/>
    <n v="10.77"/>
    <n v="594"/>
    <n v="9.6999999999999993"/>
    <n v="152.68"/>
    <n v="1235.79"/>
    <n v="188680.42"/>
    <n v="2.1700000000000001E-2"/>
    <n v="184586.05"/>
    <n v="4311.5600000000004"/>
    <n v="0.23380000000000001"/>
    <n v="43156.22"/>
    <s v="Net 45"/>
    <s v="S. Kapoor"/>
    <s v="Synthetic sample row shaped by public steel product sales and shipment references"/>
  </r>
  <r>
    <s v="STL-2025-00686"/>
    <x v="189"/>
    <n v="2025"/>
    <x v="9"/>
    <s v="Q1"/>
    <x v="4"/>
    <s v="Indonesia"/>
    <s v="Domestic distributor"/>
    <x v="0"/>
    <s v="Energy"/>
    <x v="2"/>
    <x v="2"/>
    <s v="API L80"/>
    <n v="13.75"/>
    <n v="223"/>
    <n v="5.8"/>
    <n v="58.06"/>
    <n v="1398.13"/>
    <n v="81175.429999999993"/>
    <n v="5.5399999999999998E-2"/>
    <n v="76678.31"/>
    <n v="1409.92"/>
    <n v="0.2132"/>
    <n v="16347.82"/>
    <s v="LC at sight"/>
    <s v="R. Iyer"/>
    <s v="Synthetic sample row shaped by public steel product sales and shipment references"/>
  </r>
  <r>
    <s v="STL-2024-00692"/>
    <x v="190"/>
    <n v="2024"/>
    <x v="2"/>
    <s v="Q1"/>
    <x v="2"/>
    <s v="UAE"/>
    <s v="Export direct"/>
    <x v="3"/>
    <s v="Infrastructure"/>
    <x v="3"/>
    <x v="3"/>
    <s v="JIS G3444"/>
    <n v="14.47"/>
    <n v="257"/>
    <n v="9.1999999999999993"/>
    <n v="165.89"/>
    <n v="1378.88"/>
    <n v="228742.39999999999"/>
    <n v="3.2399999999999998E-2"/>
    <n v="221331.15"/>
    <n v="10557.89"/>
    <n v="0.11890000000000001"/>
    <n v="26316.27"/>
    <s v="Net 45"/>
    <s v="M. Alvarez"/>
    <s v="Synthetic sample row shaped by public steel product sales and shipment references"/>
  </r>
  <r>
    <s v="STL-2025-00695"/>
    <x v="191"/>
    <n v="2025"/>
    <x v="0"/>
    <s v="Q3"/>
    <x v="3"/>
    <s v="Mexico"/>
    <s v="Domestic direct"/>
    <x v="4"/>
    <s v="Construction"/>
    <x v="0"/>
    <x v="0"/>
    <s v="B500B"/>
    <n v="17.98"/>
    <n v="15"/>
    <n v="9.9"/>
    <n v="211.74"/>
    <n v="724.99"/>
    <n v="153509.38"/>
    <n v="1.8700000000000001E-2"/>
    <n v="150638.75"/>
    <n v="3874.52"/>
    <n v="0.11169999999999999"/>
    <n v="16826.349999999999"/>
    <s v="Net 45"/>
    <s v="A. Mehta"/>
    <s v="Synthetic sample row shaped by public steel product sales and shipment references"/>
  </r>
  <r>
    <s v="STL-2025-00706"/>
    <x v="192"/>
    <n v="2025"/>
    <x v="11"/>
    <s v="Q4"/>
    <x v="3"/>
    <s v="United States"/>
    <s v="Domestic distributor"/>
    <x v="5"/>
    <s v="Infrastructure"/>
    <x v="3"/>
    <x v="3"/>
    <s v="JIS G3444"/>
    <n v="4.43"/>
    <n v="475"/>
    <n v="9.6"/>
    <n v="86.55"/>
    <n v="1194.32"/>
    <n v="103368.4"/>
    <n v="4.41E-2"/>
    <n v="98809.85"/>
    <n v="2854.82"/>
    <n v="0.2324"/>
    <n v="22963.41"/>
    <s v="Net 15"/>
    <s v="N. Sharma"/>
    <s v="Synthetic sample row shaped by public steel product sales and shipment references"/>
  </r>
  <r>
    <s v="STL-2025-00709"/>
    <x v="193"/>
    <n v="2025"/>
    <x v="7"/>
    <s v="Q4"/>
    <x v="1"/>
    <s v="Germany"/>
    <s v="Export distributor"/>
    <x v="1"/>
    <s v="Construction"/>
    <x v="0"/>
    <x v="0"/>
    <s v="IS 1786"/>
    <n v="9.18"/>
    <n v="32"/>
    <n v="6.9"/>
    <n v="579.08000000000004"/>
    <n v="761.15"/>
    <n v="440766.74"/>
    <n v="3.2599999999999997E-2"/>
    <n v="426397.74"/>
    <n v="45349.46"/>
    <n v="0.152"/>
    <n v="64812.46"/>
    <s v="Net 45"/>
    <s v="S. Kapoor"/>
    <s v="Synthetic sample row shaped by public steel product sales and shipment references"/>
  </r>
  <r>
    <s v="STL-2025-00711"/>
    <x v="194"/>
    <n v="2025"/>
    <x v="4"/>
    <s v="Q2"/>
    <x v="5"/>
    <s v="India"/>
    <s v="Domestic direct"/>
    <x v="5"/>
    <s v="Energy"/>
    <x v="3"/>
    <x v="3"/>
    <s v="EN 10219"/>
    <n v="15.46"/>
    <n v="537"/>
    <n v="10.3"/>
    <n v="169.51"/>
    <n v="1094.52"/>
    <n v="185532.09"/>
    <n v="3.4599999999999999E-2"/>
    <n v="179112.68"/>
    <n v="5184.28"/>
    <n v="0.14779999999999999"/>
    <n v="26472.85"/>
    <s v="Advance"/>
    <s v="A. Mehta"/>
    <s v="Synthetic sample row shaped by public steel product sales and shipment references"/>
  </r>
  <r>
    <s v="STL-2025-00712"/>
    <x v="195"/>
    <n v="2025"/>
    <x v="5"/>
    <s v="Q4"/>
    <x v="0"/>
    <s v="Taiwan"/>
    <s v="Export direct"/>
    <x v="1"/>
    <s v="Shipbuilding"/>
    <x v="1"/>
    <x v="1"/>
    <s v="JIS SM490"/>
    <n v="50.27"/>
    <n v="1417"/>
    <n v="4.5"/>
    <n v="168.24"/>
    <n v="1182"/>
    <n v="198859.68"/>
    <n v="2.98E-2"/>
    <n v="192933.66"/>
    <n v="10939.93"/>
    <n v="0.1794"/>
    <n v="34612.300000000003"/>
    <s v="LC at sight"/>
    <s v="M. Alvarez"/>
    <s v="Synthetic sample row shaped by public steel product sales and shipment references"/>
  </r>
  <r>
    <s v="STL-2025-00715"/>
    <x v="196"/>
    <n v="2025"/>
    <x v="6"/>
    <s v="Q3"/>
    <x v="5"/>
    <s v="Sri Lanka"/>
    <s v="Export direct"/>
    <x v="2"/>
    <s v="Infrastructure"/>
    <x v="3"/>
    <x v="3"/>
    <s v="EN 10219"/>
    <n v="6.65"/>
    <n v="382"/>
    <n v="7.7"/>
    <n v="167.51"/>
    <n v="1036.18"/>
    <n v="173570.51"/>
    <n v="3.1399999999999997E-2"/>
    <n v="168120.4"/>
    <n v="14100.52"/>
    <n v="0.21479999999999999"/>
    <n v="36112.26"/>
    <s v="Advance"/>
    <s v="S. Kapoor"/>
    <s v="Synthetic sample row shaped by public steel product sales and shipment references"/>
  </r>
  <r>
    <s v="STL-2025-00716"/>
    <x v="197"/>
    <n v="2025"/>
    <x v="2"/>
    <s v="Q1"/>
    <x v="0"/>
    <s v="Taiwan"/>
    <s v="Domestic direct"/>
    <x v="2"/>
    <s v="Infrastructure"/>
    <x v="3"/>
    <x v="3"/>
    <s v="JIS G3444"/>
    <n v="11.16"/>
    <n v="386"/>
    <n v="8.1"/>
    <n v="89.66"/>
    <n v="1339.99"/>
    <n v="120143.5"/>
    <n v="2.8000000000000001E-2"/>
    <n v="116779.48"/>
    <n v="3308.57"/>
    <n v="0.17519999999999999"/>
    <n v="20459.759999999998"/>
    <s v="Net 45"/>
    <s v="R. Iyer"/>
    <s v="Synthetic sample row shaped by public steel product sales and shipment references"/>
  </r>
  <r>
    <s v="STL-2024-00718"/>
    <x v="91"/>
    <n v="2024"/>
    <x v="5"/>
    <s v="Q4"/>
    <x v="4"/>
    <s v="Indonesia"/>
    <s v="Domestic direct"/>
    <x v="2"/>
    <s v="Infrastructure"/>
    <x v="0"/>
    <x v="0"/>
    <s v="IS 1786"/>
    <n v="37.380000000000003"/>
    <n v="33"/>
    <n v="9.1"/>
    <n v="370.1"/>
    <n v="741.9"/>
    <n v="274577.19"/>
    <n v="3.8899999999999997E-2"/>
    <n v="263896.14"/>
    <n v="9571.0400000000009"/>
    <n v="0.1933"/>
    <n v="51011.12"/>
    <s v="LC at sight"/>
    <s v="N. Sharma"/>
    <s v="Synthetic sample row shaped by public steel product sales and shipment references"/>
  </r>
  <r>
    <s v="STL-2024-00720"/>
    <x v="166"/>
    <n v="2024"/>
    <x v="4"/>
    <s v="Q2"/>
    <x v="5"/>
    <s v="India"/>
    <s v="Export distributor"/>
    <x v="4"/>
    <s v="Construction"/>
    <x v="0"/>
    <x v="0"/>
    <s v="B500B"/>
    <n v="25.25"/>
    <n v="22"/>
    <n v="7.4"/>
    <n v="34.479999999999997"/>
    <n v="729.39"/>
    <n v="25149.37"/>
    <n v="5.28E-2"/>
    <n v="23821.48"/>
    <n v="3106.96"/>
    <n v="0.21879999999999999"/>
    <n v="5212.1400000000003"/>
    <s v="Net 15"/>
    <s v="N. Sharma"/>
    <s v="Synthetic sample row shaped by public steel product sales and shipment references"/>
  </r>
  <r>
    <s v="STL-2025-00721"/>
    <x v="52"/>
    <n v="2025"/>
    <x v="3"/>
    <s v="Q2"/>
    <x v="0"/>
    <s v="Taiwan"/>
    <s v="Export direct"/>
    <x v="6"/>
    <s v="Infrastructure"/>
    <x v="0"/>
    <x v="0"/>
    <s v="ASTM A615"/>
    <n v="16.87"/>
    <n v="37"/>
    <n v="8"/>
    <n v="699.83"/>
    <n v="725.91"/>
    <n v="508013.6"/>
    <n v="4.58E-2"/>
    <n v="484746.58"/>
    <n v="54135.360000000001"/>
    <n v="0.16830000000000001"/>
    <n v="81582.850000000006"/>
    <s v="Net 45"/>
    <s v="A. Mehta"/>
    <s v="Synthetic sample row shaped by public steel product sales and shipment references"/>
  </r>
  <r>
    <s v="STL-2025-00722"/>
    <x v="198"/>
    <n v="2025"/>
    <x v="1"/>
    <s v="Q2"/>
    <x v="1"/>
    <s v="Poland"/>
    <s v="Export direct"/>
    <x v="3"/>
    <s v="Energy"/>
    <x v="2"/>
    <x v="2"/>
    <s v="API L80"/>
    <n v="16.38"/>
    <n v="201"/>
    <n v="10"/>
    <n v="244.31"/>
    <n v="1606.03"/>
    <n v="392369.19"/>
    <n v="6.1499999999999999E-2"/>
    <n v="368238.48"/>
    <n v="18846"/>
    <n v="0.19350000000000001"/>
    <n v="71254.149999999994"/>
    <s v="Net 30"/>
    <s v="S. Kapoor"/>
    <s v="Synthetic sample row shaped by public steel product sales and shipment references"/>
  </r>
  <r>
    <s v="STL-2025-00723"/>
    <x v="101"/>
    <n v="2025"/>
    <x v="6"/>
    <s v="Q3"/>
    <x v="1"/>
    <s v="Germany"/>
    <s v="Domestic distributor"/>
    <x v="1"/>
    <s v="Energy"/>
    <x v="1"/>
    <x v="1"/>
    <s v="JIS SM490"/>
    <n v="21.58"/>
    <n v="1883"/>
    <n v="7"/>
    <n v="111.87"/>
    <n v="1051.24"/>
    <n v="117602.22"/>
    <n v="4.4999999999999998E-2"/>
    <n v="112310.12"/>
    <n v="4198.34"/>
    <n v="0.20599999999999999"/>
    <n v="23135.88"/>
    <s v="Advance"/>
    <s v="F. Haddad"/>
    <s v="Synthetic sample row shaped by public steel product sales and shipment references"/>
  </r>
  <r>
    <s v="STL-2025-00731"/>
    <x v="102"/>
    <n v="2025"/>
    <x v="4"/>
    <s v="Q2"/>
    <x v="0"/>
    <s v="South Korea"/>
    <s v="Export direct"/>
    <x v="4"/>
    <s v="Infrastructure"/>
    <x v="3"/>
    <x v="3"/>
    <s v="ASTM A53"/>
    <n v="13.52"/>
    <n v="207"/>
    <n v="6.3"/>
    <n v="40.35"/>
    <n v="1148.1099999999999"/>
    <n v="46326.239999999998"/>
    <n v="4.6199999999999998E-2"/>
    <n v="44185.97"/>
    <n v="3424.83"/>
    <n v="0.11940000000000001"/>
    <n v="5275.8"/>
    <s v="Net 15"/>
    <s v="N. Sharma"/>
    <s v="Synthetic sample row shaped by public steel product sales and shipment references"/>
  </r>
  <r>
    <s v="STL-2025-00732"/>
    <x v="199"/>
    <n v="2025"/>
    <x v="9"/>
    <s v="Q1"/>
    <x v="3"/>
    <s v="Mexico"/>
    <s v="Domestic distributor"/>
    <x v="2"/>
    <s v="Energy"/>
    <x v="2"/>
    <x v="2"/>
    <s v="API P110"/>
    <n v="16.54"/>
    <n v="64"/>
    <n v="3.5"/>
    <n v="14.26"/>
    <n v="1471.11"/>
    <n v="20978.03"/>
    <n v="2.5999999999999999E-2"/>
    <n v="20432.599999999999"/>
    <n v="358.51"/>
    <n v="0.2341"/>
    <n v="4783.2700000000004"/>
    <s v="Net 15"/>
    <s v="M. Alvarez"/>
    <s v="Synthetic sample row shaped by public steel product sales and shipment references"/>
  </r>
  <r>
    <s v="STL-2024-00734"/>
    <x v="200"/>
    <n v="2024"/>
    <x v="4"/>
    <s v="Q2"/>
    <x v="6"/>
    <s v="South Africa"/>
    <s v="Export distributor"/>
    <x v="6"/>
    <s v="Infrastructure"/>
    <x v="3"/>
    <x v="3"/>
    <s v="EN 10219"/>
    <n v="2.83"/>
    <n v="195"/>
    <n v="4.3"/>
    <n v="194.96"/>
    <n v="1083.92"/>
    <n v="211321.04"/>
    <n v="5.7200000000000001E-2"/>
    <n v="199233.48"/>
    <n v="11670.14"/>
    <n v="0.2477"/>
    <n v="49350.13"/>
    <s v="Net 30"/>
    <s v="M. Alvarez"/>
    <s v="Synthetic sample row shaped by public steel product sales and shipment references"/>
  </r>
  <r>
    <s v="STL-2025-00741"/>
    <x v="115"/>
    <n v="2025"/>
    <x v="2"/>
    <s v="Q1"/>
    <x v="1"/>
    <s v="Spain"/>
    <s v="Export direct"/>
    <x v="2"/>
    <s v="Infrastructure"/>
    <x v="3"/>
    <x v="3"/>
    <s v="API 5L"/>
    <n v="13.35"/>
    <n v="188"/>
    <n v="9.6999999999999993"/>
    <n v="258.72000000000003"/>
    <n v="1268.5999999999999"/>
    <n v="328212.19"/>
    <n v="4.07E-2"/>
    <n v="314853.95"/>
    <n v="15280.94"/>
    <n v="0.1075"/>
    <n v="33846.800000000003"/>
    <s v="Net 45"/>
    <s v="M. Alvarez"/>
    <s v="Synthetic sample row shaped by public steel product sales and shipment references"/>
  </r>
  <r>
    <s v="STL-2025-00742"/>
    <x v="58"/>
    <n v="2025"/>
    <x v="3"/>
    <s v="Q2"/>
    <x v="1"/>
    <s v="Spain"/>
    <s v="Domestic distributor"/>
    <x v="4"/>
    <s v="Shipbuilding"/>
    <x v="1"/>
    <x v="1"/>
    <s v="ASTM A572"/>
    <n v="65.28"/>
    <n v="1835"/>
    <n v="5.5"/>
    <n v="93.04"/>
    <n v="1297.24"/>
    <n v="120695.21"/>
    <n v="2.2599999999999999E-2"/>
    <n v="117967.5"/>
    <n v="3557.95"/>
    <n v="0.20899999999999999"/>
    <n v="24655.21"/>
    <s v="Net 15"/>
    <s v="R. Iyer"/>
    <s v="Synthetic sample row shaped by public steel product sales and shipment references"/>
  </r>
  <r>
    <s v="STL-2024-00744"/>
    <x v="201"/>
    <n v="2024"/>
    <x v="10"/>
    <s v="Q3"/>
    <x v="3"/>
    <s v="Canada"/>
    <s v="Domestic distributor"/>
    <x v="1"/>
    <s v="Construction"/>
    <x v="3"/>
    <x v="3"/>
    <s v="EN 10219"/>
    <n v="11.95"/>
    <n v="296"/>
    <n v="5.9"/>
    <n v="26.65"/>
    <n v="1279.23"/>
    <n v="34091.480000000003"/>
    <n v="3.1099999999999999E-2"/>
    <n v="33031.230000000003"/>
    <n v="623.4"/>
    <n v="0.19370000000000001"/>
    <n v="6398.15"/>
    <s v="LC at sight"/>
    <s v="S. Kapoor"/>
    <s v="Synthetic sample row shaped by public steel product sales and shipment references"/>
  </r>
  <r>
    <s v="STL-2024-00746"/>
    <x v="202"/>
    <n v="2024"/>
    <x v="2"/>
    <s v="Q1"/>
    <x v="4"/>
    <s v="Indonesia"/>
    <s v="Export direct"/>
    <x v="1"/>
    <s v="Energy"/>
    <x v="2"/>
    <x v="2"/>
    <s v="API P110"/>
    <n v="12.98"/>
    <n v="127"/>
    <n v="10"/>
    <n v="113.36"/>
    <n v="1655.33"/>
    <n v="187648.21"/>
    <n v="5.7299999999999997E-2"/>
    <n v="176895.97"/>
    <n v="6876.55"/>
    <n v="0.2145"/>
    <n v="37944.19"/>
    <s v="LC at sight"/>
    <s v="M. Alvarez"/>
    <s v="Synthetic sample row shaped by public steel product sales and shipment references"/>
  </r>
  <r>
    <s v="STL-2024-00749"/>
    <x v="203"/>
    <n v="2024"/>
    <x v="1"/>
    <s v="Q2"/>
    <x v="0"/>
    <s v="Taiwan"/>
    <s v="Export direct"/>
    <x v="2"/>
    <s v="Energy"/>
    <x v="1"/>
    <x v="1"/>
    <s v="ASTM A572"/>
    <n v="57.76"/>
    <n v="1356"/>
    <n v="9.4"/>
    <n v="191.04"/>
    <n v="1313.47"/>
    <n v="250925.31"/>
    <n v="5.1200000000000002E-2"/>
    <n v="238077.93"/>
    <n v="18491.669999999998"/>
    <n v="0.1608"/>
    <n v="38282.93"/>
    <s v="Net 45"/>
    <s v="K. Wilson"/>
    <s v="Synthetic sample row shaped by public steel product sales and shipment references"/>
  </r>
  <r>
    <s v="STL-2025-00752"/>
    <x v="15"/>
    <n v="2025"/>
    <x v="9"/>
    <s v="Q1"/>
    <x v="2"/>
    <s v="Saudi Arabia"/>
    <s v="Domestic direct"/>
    <x v="4"/>
    <s v="Energy"/>
    <x v="3"/>
    <x v="3"/>
    <s v="API 5L"/>
    <n v="3.31"/>
    <n v="258"/>
    <n v="9.6"/>
    <n v="48.12"/>
    <n v="1242.81"/>
    <n v="59804.02"/>
    <n v="3.5000000000000003E-2"/>
    <n v="57710.879999999997"/>
    <n v="1625.09"/>
    <n v="0.20019999999999999"/>
    <n v="11553.72"/>
    <s v="LC at sight"/>
    <s v="R. Iyer"/>
    <s v="Synthetic sample row shaped by public steel product sales and shipment references"/>
  </r>
  <r>
    <s v="STL-2025-00756"/>
    <x v="204"/>
    <n v="2025"/>
    <x v="4"/>
    <s v="Q2"/>
    <x v="2"/>
    <s v="UAE"/>
    <s v="Export distributor"/>
    <x v="2"/>
    <s v="Infrastructure"/>
    <x v="0"/>
    <x v="0"/>
    <s v="IS 1786"/>
    <n v="16.95"/>
    <n v="19"/>
    <n v="6.9"/>
    <n v="78.19"/>
    <n v="890.71"/>
    <n v="69644.61"/>
    <n v="0.02"/>
    <n v="68251.72"/>
    <n v="5070.95"/>
    <n v="0.1222"/>
    <n v="8340.36"/>
    <s v="Net 30"/>
    <s v="R. Iyer"/>
    <s v="Synthetic sample row shaped by public steel product sales and shipment references"/>
  </r>
  <r>
    <s v="STL-2025-00757"/>
    <x v="38"/>
    <n v="2025"/>
    <x v="0"/>
    <s v="Q3"/>
    <x v="5"/>
    <s v="Bangladesh"/>
    <s v="Domestic direct"/>
    <x v="5"/>
    <s v="Construction"/>
    <x v="0"/>
    <x v="0"/>
    <s v="IS 1786"/>
    <n v="12.29"/>
    <n v="20"/>
    <n v="9"/>
    <n v="214.15"/>
    <n v="643.4"/>
    <n v="137784.10999999999"/>
    <n v="4.7399999999999998E-2"/>
    <n v="131253.14000000001"/>
    <n v="5622.74"/>
    <n v="0.155"/>
    <n v="20344.240000000002"/>
    <s v="Advance"/>
    <s v="S. Kapoor"/>
    <s v="Synthetic sample row shaped by public steel product sales and shipment references"/>
  </r>
  <r>
    <s v="STL-2024-00761"/>
    <x v="205"/>
    <n v="2024"/>
    <x v="8"/>
    <s v="Q1"/>
    <x v="0"/>
    <s v="South Korea"/>
    <s v="Export distributor"/>
    <x v="5"/>
    <s v="Construction"/>
    <x v="3"/>
    <x v="3"/>
    <s v="EN 10219"/>
    <n v="7.74"/>
    <n v="258"/>
    <n v="10.6"/>
    <n v="203.09"/>
    <n v="1228.8900000000001"/>
    <n v="249575.27"/>
    <n v="2.8000000000000001E-2"/>
    <n v="242587.16"/>
    <n v="11157.12"/>
    <n v="0.1439"/>
    <n v="34908.29"/>
    <s v="Advance"/>
    <s v="S. Kapoor"/>
    <s v="Synthetic sample row shaped by public steel product sales and shipment references"/>
  </r>
  <r>
    <s v="STL-2024-00768"/>
    <x v="164"/>
    <n v="2024"/>
    <x v="6"/>
    <s v="Q3"/>
    <x v="4"/>
    <s v="Indonesia"/>
    <s v="Domestic distributor"/>
    <x v="2"/>
    <s v="Shipbuilding"/>
    <x v="1"/>
    <x v="1"/>
    <s v="ASTM A516"/>
    <n v="10.17"/>
    <n v="1771"/>
    <n v="7.4"/>
    <n v="54.82"/>
    <n v="926.66"/>
    <n v="50799.5"/>
    <n v="2.5600000000000001E-2"/>
    <n v="49499.03"/>
    <n v="2256.56"/>
    <n v="0.1153"/>
    <n v="5707.24"/>
    <s v="Advance"/>
    <s v="A. Mehta"/>
    <s v="Synthetic sample row shaped by public steel product sales and shipment references"/>
  </r>
  <r>
    <s v="STL-2024-00774"/>
    <x v="206"/>
    <n v="2024"/>
    <x v="7"/>
    <s v="Q4"/>
    <x v="0"/>
    <s v="Japan"/>
    <s v="Export distributor"/>
    <x v="1"/>
    <s v="Infrastructure"/>
    <x v="3"/>
    <x v="3"/>
    <s v="JIS G3444"/>
    <n v="6.68"/>
    <n v="358"/>
    <n v="9.8000000000000007"/>
    <n v="203.11"/>
    <n v="1116.54"/>
    <n v="226780.44"/>
    <n v="4.65E-2"/>
    <n v="216235.15"/>
    <n v="11832.61"/>
    <n v="0.20280000000000001"/>
    <n v="43852.49"/>
    <s v="Advance"/>
    <s v="M. Alvarez"/>
    <s v="Synthetic sample row shaped by public steel product sales and shipment references"/>
  </r>
  <r>
    <s v="STL-2025-00779"/>
    <x v="207"/>
    <n v="2025"/>
    <x v="7"/>
    <s v="Q4"/>
    <x v="4"/>
    <s v="Malaysia"/>
    <s v="Export direct"/>
    <x v="3"/>
    <s v="Energy"/>
    <x v="1"/>
    <x v="1"/>
    <s v="JIS SM490"/>
    <n v="15.18"/>
    <n v="2146"/>
    <n v="6.4"/>
    <n v="52.55"/>
    <n v="1172.23"/>
    <n v="61600.69"/>
    <n v="3.6299999999999999E-2"/>
    <n v="59364.58"/>
    <n v="4560.4399999999996"/>
    <n v="0.14899999999999999"/>
    <n v="8845.32"/>
    <s v="Net 15"/>
    <s v="N. Sharma"/>
    <s v="Synthetic sample row shaped by public steel product sales and shipment references"/>
  </r>
  <r>
    <s v="STL-2024-00780"/>
    <x v="78"/>
    <n v="2024"/>
    <x v="5"/>
    <s v="Q4"/>
    <x v="0"/>
    <s v="Taiwan"/>
    <s v="Domestic distributor"/>
    <x v="4"/>
    <s v="Industrial machinery"/>
    <x v="1"/>
    <x v="1"/>
    <s v="ASTM A572"/>
    <n v="35.53"/>
    <n v="2707"/>
    <n v="8.6999999999999993"/>
    <n v="81.510000000000005"/>
    <n v="1080.7"/>
    <n v="88087.86"/>
    <n v="4.9000000000000002E-2"/>
    <n v="83771.55"/>
    <n v="2370.2800000000002"/>
    <n v="0.11210000000000001"/>
    <n v="9390.7900000000009"/>
    <s v="LC at sight"/>
    <s v="F. Haddad"/>
    <s v="Synthetic sample row shaped by public steel product sales and shipment references"/>
  </r>
  <r>
    <s v="STL-2024-00782"/>
    <x v="208"/>
    <n v="2024"/>
    <x v="3"/>
    <s v="Q2"/>
    <x v="0"/>
    <s v="Japan"/>
    <s v="Export direct"/>
    <x v="0"/>
    <s v="Shipbuilding"/>
    <x v="1"/>
    <x v="1"/>
    <s v="ASTM A572"/>
    <n v="53.21"/>
    <n v="1556"/>
    <n v="12"/>
    <n v="123.05"/>
    <n v="1187.53"/>
    <n v="146125.57"/>
    <n v="5.4699999999999999E-2"/>
    <n v="138132.5"/>
    <n v="6529.54"/>
    <n v="0.1144"/>
    <n v="15802.36"/>
    <s v="Net 45"/>
    <s v="S. Kapoor"/>
    <s v="Synthetic sample row shaped by public steel product sales and shipment references"/>
  </r>
  <r>
    <s v="STL-2024-00786"/>
    <x v="209"/>
    <n v="2024"/>
    <x v="10"/>
    <s v="Q3"/>
    <x v="4"/>
    <s v="Indonesia"/>
    <s v="Export distributor"/>
    <x v="0"/>
    <s v="Infrastructure"/>
    <x v="3"/>
    <x v="3"/>
    <s v="ASTM A53"/>
    <n v="15.08"/>
    <n v="459"/>
    <n v="8.6999999999999993"/>
    <n v="50.53"/>
    <n v="1203.51"/>
    <n v="60813.36"/>
    <n v="1.8700000000000001E-2"/>
    <n v="59676.15"/>
    <n v="4507.8900000000003"/>
    <n v="0.2407"/>
    <n v="14364.05"/>
    <s v="Net 15"/>
    <s v="D. Chen"/>
    <s v="Synthetic sample row shaped by public steel product sales and shipment references"/>
  </r>
  <r>
    <s v="STL-2024-00788"/>
    <x v="210"/>
    <n v="2024"/>
    <x v="10"/>
    <s v="Q3"/>
    <x v="3"/>
    <s v="United States"/>
    <s v="Export direct"/>
    <x v="7"/>
    <s v="Construction"/>
    <x v="0"/>
    <x v="0"/>
    <s v="ASTM A615"/>
    <n v="24.75"/>
    <n v="27"/>
    <n v="3.9"/>
    <n v="499.96"/>
    <n v="795.8"/>
    <n v="397868.17"/>
    <n v="6.0499999999999998E-2"/>
    <n v="373797.15"/>
    <n v="33476.11"/>
    <n v="0.115"/>
    <n v="42986.67"/>
    <s v="LC at sight"/>
    <s v="A. Mehta"/>
    <s v="Synthetic sample row shaped by public steel product sales and shipment references"/>
  </r>
  <r>
    <s v="STL-2025-00789"/>
    <x v="211"/>
    <n v="2025"/>
    <x v="9"/>
    <s v="Q1"/>
    <x v="0"/>
    <s v="Taiwan"/>
    <s v="Export direct"/>
    <x v="0"/>
    <s v="Industrial machinery"/>
    <x v="1"/>
    <x v="1"/>
    <s v="EN S355"/>
    <n v="49.2"/>
    <n v="2895"/>
    <n v="11.5"/>
    <n v="107.67"/>
    <n v="1052.49"/>
    <n v="113321.60000000001"/>
    <n v="3.7199999999999997E-2"/>
    <n v="109106.04"/>
    <n v="9859.17"/>
    <n v="0.2445"/>
    <n v="26676.43"/>
    <s v="Net 15"/>
    <s v="K. Wilson"/>
    <s v="Synthetic sample row shaped by public steel product sales and shipment references"/>
  </r>
  <r>
    <s v="STL-2024-00794"/>
    <x v="212"/>
    <n v="2024"/>
    <x v="1"/>
    <s v="Q2"/>
    <x v="4"/>
    <s v="Malaysia"/>
    <s v="Export distributor"/>
    <x v="7"/>
    <s v="Construction"/>
    <x v="0"/>
    <x v="0"/>
    <s v="ASTM A615"/>
    <n v="36.29"/>
    <n v="32"/>
    <n v="10.9"/>
    <n v="155.61000000000001"/>
    <n v="806.51"/>
    <n v="125501.02"/>
    <n v="1.9E-2"/>
    <n v="123116.5"/>
    <n v="10468.299999999999"/>
    <n v="0.15870000000000001"/>
    <n v="19538.59"/>
    <s v="Net 30"/>
    <s v="M. Alvarez"/>
    <s v="Synthetic sample row shaped by public steel product sales and shipment references"/>
  </r>
  <r>
    <s v="STL-2024-00795"/>
    <x v="114"/>
    <n v="2024"/>
    <x v="0"/>
    <s v="Q3"/>
    <x v="1"/>
    <s v="Germany"/>
    <s v="Domestic direct"/>
    <x v="5"/>
    <s v="Energy"/>
    <x v="3"/>
    <x v="3"/>
    <s v="EN 10219"/>
    <n v="12.41"/>
    <n v="501"/>
    <n v="4.2"/>
    <n v="157.16999999999999"/>
    <n v="1185.5899999999999"/>
    <n v="186339.18"/>
    <n v="4.9200000000000001E-2"/>
    <n v="177171.29"/>
    <n v="3788.42"/>
    <n v="0.1517"/>
    <n v="26876.880000000001"/>
    <s v="Net 30"/>
    <s v="A. Mehta"/>
    <s v="Synthetic sample row shaped by public steel product sales and shipment references"/>
  </r>
  <r>
    <s v="STL-2025-00797"/>
    <x v="213"/>
    <n v="2025"/>
    <x v="1"/>
    <s v="Q2"/>
    <x v="3"/>
    <s v="Mexico"/>
    <s v="Export distributor"/>
    <x v="1"/>
    <s v="Energy"/>
    <x v="1"/>
    <x v="1"/>
    <s v="JIS SM490"/>
    <n v="57.53"/>
    <n v="2429"/>
    <n v="6.5"/>
    <n v="52.29"/>
    <n v="1269.23"/>
    <n v="66368.039999999994"/>
    <n v="3.5400000000000001E-2"/>
    <n v="64018.61"/>
    <n v="4443.71"/>
    <n v="0.1237"/>
    <n v="7919.1"/>
    <s v="Net 30"/>
    <s v="F. Haddad"/>
    <s v="Synthetic sample row shaped by public steel product sales and shipment references"/>
  </r>
  <r>
    <s v="STL-2025-00798"/>
    <x v="214"/>
    <n v="2025"/>
    <x v="2"/>
    <s v="Q1"/>
    <x v="6"/>
    <s v="Kenya"/>
    <s v="Export distributor"/>
    <x v="2"/>
    <s v="Shipbuilding"/>
    <x v="1"/>
    <x v="1"/>
    <s v="ASTM A572"/>
    <n v="13.35"/>
    <n v="3040"/>
    <n v="5.0999999999999996"/>
    <n v="47.1"/>
    <n v="992.51"/>
    <n v="46747.22"/>
    <n v="1.9699999999999999E-2"/>
    <n v="45826.3"/>
    <n v="2629.98"/>
    <n v="0.1953"/>
    <n v="8949.8799999999992"/>
    <s v="Net 45"/>
    <s v="A. Mehta"/>
    <s v="Synthetic sample row shaped by public steel product sales and shipment references"/>
  </r>
  <r>
    <s v="STL-2024-00799"/>
    <x v="215"/>
    <n v="2024"/>
    <x v="5"/>
    <s v="Q4"/>
    <x v="1"/>
    <s v="Italy"/>
    <s v="Export direct"/>
    <x v="6"/>
    <s v="Construction"/>
    <x v="0"/>
    <x v="0"/>
    <s v="IS 1786"/>
    <n v="14.22"/>
    <n v="23"/>
    <n v="4.7"/>
    <n v="318.95"/>
    <n v="743.09"/>
    <n v="237008.56"/>
    <n v="3.5299999999999998E-2"/>
    <n v="228642.16"/>
    <n v="23685.58"/>
    <n v="0.17399999999999999"/>
    <n v="39783.74"/>
    <s v="Advance"/>
    <s v="R. Iyer"/>
    <s v="Synthetic sample row shaped by public steel product sales and shipment references"/>
  </r>
  <r>
    <s v="STL-2025-00800"/>
    <x v="191"/>
    <n v="2025"/>
    <x v="0"/>
    <s v="Q3"/>
    <x v="1"/>
    <s v="Spain"/>
    <s v="Domestic distributor"/>
    <x v="2"/>
    <s v="Construction"/>
    <x v="0"/>
    <x v="0"/>
    <s v="ASTM A615"/>
    <n v="36.32"/>
    <n v="37"/>
    <n v="5.5"/>
    <n v="475.43"/>
    <n v="698.01"/>
    <n v="331854.89"/>
    <n v="4.6100000000000002E-2"/>
    <n v="316556.38"/>
    <n v="15013.12"/>
    <n v="0.14660000000000001"/>
    <n v="46407.17"/>
    <s v="Advance"/>
    <s v="N. Sharma"/>
    <s v="Synthetic sample row shaped by public steel product sales and shipment references"/>
  </r>
  <r>
    <s v="STL-2025-00806"/>
    <x v="216"/>
    <n v="2025"/>
    <x v="2"/>
    <s v="Q1"/>
    <x v="5"/>
    <s v="Sri Lanka"/>
    <s v="Export distributor"/>
    <x v="3"/>
    <s v="Shipbuilding"/>
    <x v="1"/>
    <x v="1"/>
    <s v="EN S355"/>
    <n v="23.44"/>
    <n v="2340"/>
    <n v="10.4"/>
    <n v="76.41"/>
    <n v="1060.68"/>
    <n v="81046.559999999998"/>
    <n v="2.0299999999999999E-2"/>
    <n v="79401.31"/>
    <n v="6051.69"/>
    <n v="0.248"/>
    <n v="19691.52"/>
    <s v="Net 15"/>
    <s v="K. Wilson"/>
    <s v="Synthetic sample row shaped by public steel product sales and shipment references"/>
  </r>
  <r>
    <s v="STL-2025-00808"/>
    <x v="191"/>
    <n v="2025"/>
    <x v="0"/>
    <s v="Q3"/>
    <x v="1"/>
    <s v="Italy"/>
    <s v="Export distributor"/>
    <x v="7"/>
    <s v="Energy"/>
    <x v="2"/>
    <x v="2"/>
    <s v="API P110"/>
    <n v="8.44"/>
    <n v="76"/>
    <n v="11.7"/>
    <n v="107.68"/>
    <n v="1449.73"/>
    <n v="156106.93"/>
    <n v="4.4400000000000002E-2"/>
    <n v="149175.78"/>
    <n v="5762.24"/>
    <n v="0.1749"/>
    <n v="26090.84"/>
    <s v="Net 30"/>
    <s v="N. Sharma"/>
    <s v="Synthetic sample row shaped by public steel product sales and shipment references"/>
  </r>
  <r>
    <s v="STL-2025-00810"/>
    <x v="44"/>
    <n v="2025"/>
    <x v="2"/>
    <s v="Q1"/>
    <x v="4"/>
    <s v="Indonesia"/>
    <s v="Export distributor"/>
    <x v="0"/>
    <s v="Industrial machinery"/>
    <x v="1"/>
    <x v="1"/>
    <s v="EN S355"/>
    <n v="28.55"/>
    <n v="1344"/>
    <n v="10.9"/>
    <n v="80.12"/>
    <n v="1193.3900000000001"/>
    <n v="95614.41"/>
    <n v="6.1800000000000001E-2"/>
    <n v="89705.44"/>
    <n v="4449.3599999999997"/>
    <n v="0.1852"/>
    <n v="16613.45"/>
    <s v="Net 30"/>
    <s v="R. Iyer"/>
    <s v="Synthetic sample row shaped by public steel product sales and shipment references"/>
  </r>
  <r>
    <s v="STL-2025-00815"/>
    <x v="122"/>
    <n v="2025"/>
    <x v="11"/>
    <s v="Q4"/>
    <x v="1"/>
    <s v="Spain"/>
    <s v="Domestic distributor"/>
    <x v="2"/>
    <s v="Infrastructure"/>
    <x v="3"/>
    <x v="3"/>
    <s v="API 5L"/>
    <n v="9.93"/>
    <n v="351"/>
    <n v="3.2"/>
    <n v="59.84"/>
    <n v="1207.6199999999999"/>
    <n v="72263.98"/>
    <n v="2.7E-2"/>
    <n v="70312.850000000006"/>
    <n v="2338.27"/>
    <n v="0.21429999999999999"/>
    <n v="15068.04"/>
    <s v="Net 15"/>
    <s v="N. Sharma"/>
    <s v="Synthetic sample row shaped by public steel product sales and shipment references"/>
  </r>
  <r>
    <s v="STL-2024-00823"/>
    <x v="217"/>
    <n v="2024"/>
    <x v="11"/>
    <s v="Q4"/>
    <x v="1"/>
    <s v="Spain"/>
    <s v="Export direct"/>
    <x v="3"/>
    <s v="Energy"/>
    <x v="2"/>
    <x v="2"/>
    <s v="API L80"/>
    <n v="10.47"/>
    <n v="78"/>
    <n v="7.1"/>
    <n v="149.01"/>
    <n v="1647.34"/>
    <n v="245470.13"/>
    <n v="3.3099999999999997E-2"/>
    <n v="237345.07"/>
    <n v="11216.43"/>
    <n v="0.1573"/>
    <n v="37334.379999999997"/>
    <s v="LC at sight"/>
    <s v="M. Alvarez"/>
    <s v="Synthetic sample row shaped by public steel product sales and shipment references"/>
  </r>
  <r>
    <s v="STL-2024-00824"/>
    <x v="53"/>
    <n v="2024"/>
    <x v="9"/>
    <s v="Q1"/>
    <x v="3"/>
    <s v="Mexico"/>
    <s v="Domestic distributor"/>
    <x v="0"/>
    <s v="Construction"/>
    <x v="0"/>
    <x v="0"/>
    <s v="BS 4449"/>
    <n v="9.74"/>
    <n v="26"/>
    <n v="7.7"/>
    <n v="455.22"/>
    <n v="734.6"/>
    <n v="334404.61"/>
    <n v="6.7100000000000007E-2"/>
    <n v="311966.06"/>
    <n v="14146.93"/>
    <n v="0.25"/>
    <n v="77991.509999999995"/>
    <s v="LC at sight"/>
    <s v="A. Mehta"/>
    <s v="Synthetic sample row shaped by public steel product sales and shipment references"/>
  </r>
  <r>
    <s v="STL-2025-00826"/>
    <x v="218"/>
    <n v="2025"/>
    <x v="3"/>
    <s v="Q2"/>
    <x v="1"/>
    <s v="Poland"/>
    <s v="Export direct"/>
    <x v="2"/>
    <s v="Industrial machinery"/>
    <x v="1"/>
    <x v="1"/>
    <s v="ASTM A516"/>
    <n v="22.07"/>
    <n v="2733"/>
    <n v="3.6"/>
    <n v="154.34"/>
    <n v="1080.97"/>
    <n v="166836.91"/>
    <n v="3.2199999999999999E-2"/>
    <n v="161464.76"/>
    <n v="14835.51"/>
    <n v="0.18659999999999999"/>
    <n v="30129.32"/>
    <s v="Net 15"/>
    <s v="F. Haddad"/>
    <s v="Synthetic sample row shaped by public steel product sales and shipment references"/>
  </r>
  <r>
    <s v="STL-2024-00827"/>
    <x v="219"/>
    <n v="2024"/>
    <x v="1"/>
    <s v="Q2"/>
    <x v="5"/>
    <s v="Sri Lanka"/>
    <s v="Export direct"/>
    <x v="3"/>
    <s v="Shipbuilding"/>
    <x v="1"/>
    <x v="1"/>
    <s v="EN S355"/>
    <n v="61.1"/>
    <n v="1260"/>
    <n v="7.6"/>
    <n v="18.71"/>
    <n v="1083.6600000000001"/>
    <n v="20275.28"/>
    <n v="2.18E-2"/>
    <n v="19833.28"/>
    <n v="1482.09"/>
    <n v="0.1545"/>
    <n v="3064.24"/>
    <s v="Net 45"/>
    <s v="A. Mehta"/>
    <s v="Synthetic sample row shaped by public steel product sales and shipment references"/>
  </r>
  <r>
    <s v="STL-2024-00828"/>
    <x v="40"/>
    <n v="2024"/>
    <x v="2"/>
    <s v="Q1"/>
    <x v="5"/>
    <s v="Bangladesh"/>
    <s v="Domestic direct"/>
    <x v="1"/>
    <s v="Infrastructure"/>
    <x v="3"/>
    <x v="3"/>
    <s v="ASTM A53"/>
    <n v="13.28"/>
    <n v="408"/>
    <n v="11.1"/>
    <n v="106.84"/>
    <n v="1096.0999999999999"/>
    <n v="117107.32"/>
    <n v="1.29E-2"/>
    <n v="115596.64"/>
    <n v="2636.21"/>
    <n v="0.20979999999999999"/>
    <n v="24252.18"/>
    <s v="LC at sight"/>
    <s v="M. Alvarez"/>
    <s v="Synthetic sample row shaped by public steel product sales and shipment references"/>
  </r>
  <r>
    <s v="STL-2025-00830"/>
    <x v="220"/>
    <n v="2025"/>
    <x v="3"/>
    <s v="Q2"/>
    <x v="1"/>
    <s v="Poland"/>
    <s v="Domestic direct"/>
    <x v="2"/>
    <s v="Shipbuilding"/>
    <x v="1"/>
    <x v="1"/>
    <s v="ASTM A516"/>
    <n v="66.040000000000006"/>
    <n v="3040"/>
    <n v="7.4"/>
    <n v="153.44"/>
    <n v="1293.98"/>
    <n v="198548.29"/>
    <n v="5.0599999999999999E-2"/>
    <n v="188501.75"/>
    <n v="3592.2"/>
    <n v="0.23380000000000001"/>
    <n v="44071.71"/>
    <s v="LC at sight"/>
    <s v="R. Iyer"/>
    <s v="Synthetic sample row shaped by public steel product sales and shipment references"/>
  </r>
  <r>
    <s v="STL-2025-00831"/>
    <x v="181"/>
    <n v="2025"/>
    <x v="3"/>
    <s v="Q2"/>
    <x v="6"/>
    <s v="Kenya"/>
    <s v="Domestic distributor"/>
    <x v="6"/>
    <s v="Infrastructure"/>
    <x v="3"/>
    <x v="3"/>
    <s v="EN 10219"/>
    <n v="13.59"/>
    <n v="64"/>
    <n v="5.8"/>
    <n v="51.02"/>
    <n v="1144.42"/>
    <n v="58388.31"/>
    <n v="1.35E-2"/>
    <n v="57600.07"/>
    <n v="1373.67"/>
    <n v="0.15670000000000001"/>
    <n v="9025.93"/>
    <s v="LC at sight"/>
    <s v="A. Mehta"/>
    <s v="Synthetic sample row shaped by public steel product sales and shipment references"/>
  </r>
  <r>
    <s v="STL-2025-00835"/>
    <x v="221"/>
    <n v="2025"/>
    <x v="10"/>
    <s v="Q3"/>
    <x v="4"/>
    <s v="Vietnam"/>
    <s v="Export distributor"/>
    <x v="6"/>
    <s v="Construction"/>
    <x v="0"/>
    <x v="0"/>
    <s v="IS 1786"/>
    <n v="15.06"/>
    <n v="19"/>
    <n v="5"/>
    <n v="69.510000000000005"/>
    <n v="715.93"/>
    <n v="49764.29"/>
    <n v="6.0299999999999999E-2"/>
    <n v="46763.5"/>
    <n v="4041.81"/>
    <n v="0.1605"/>
    <n v="7505.54"/>
    <s v="Advance"/>
    <s v="S. Kapoor"/>
    <s v="Synthetic sample row shaped by public steel product sales and shipment references"/>
  </r>
  <r>
    <s v="STL-2024-00836"/>
    <x v="74"/>
    <n v="2024"/>
    <x v="1"/>
    <s v="Q2"/>
    <x v="1"/>
    <s v="Italy"/>
    <s v="Export distributor"/>
    <x v="6"/>
    <s v="Energy"/>
    <x v="2"/>
    <x v="2"/>
    <s v="API L80"/>
    <n v="16.350000000000001"/>
    <n v="196"/>
    <n v="3.5"/>
    <n v="41.48"/>
    <n v="1630.04"/>
    <n v="67614.06"/>
    <n v="3.3099999999999997E-2"/>
    <n v="65376.03"/>
    <n v="3913.09"/>
    <n v="0.24790000000000001"/>
    <n v="16206.72"/>
    <s v="Net 30"/>
    <s v="M. Alvarez"/>
    <s v="Synthetic sample row shaped by public steel product sales and shipment references"/>
  </r>
  <r>
    <s v="STL-2024-00838"/>
    <x v="222"/>
    <n v="2024"/>
    <x v="1"/>
    <s v="Q2"/>
    <x v="4"/>
    <s v="Vietnam"/>
    <s v="Domestic direct"/>
    <x v="3"/>
    <s v="Energy"/>
    <x v="2"/>
    <x v="2"/>
    <s v="API N80"/>
    <n v="16.91"/>
    <n v="132"/>
    <n v="7"/>
    <n v="61.99"/>
    <n v="1630.55"/>
    <n v="101077.79"/>
    <n v="2.9899999999999999E-2"/>
    <n v="98055.56"/>
    <n v="2145.85"/>
    <n v="0.19400000000000001"/>
    <n v="19022.78"/>
    <s v="Advance"/>
    <s v="K. Wilson"/>
    <s v="Synthetic sample row shaped by public steel product sales and shipment references"/>
  </r>
  <r>
    <s v="STL-2024-00839"/>
    <x v="206"/>
    <n v="2024"/>
    <x v="7"/>
    <s v="Q4"/>
    <x v="0"/>
    <s v="South Korea"/>
    <s v="Export distributor"/>
    <x v="5"/>
    <s v="Energy"/>
    <x v="2"/>
    <x v="2"/>
    <s v="API L80"/>
    <n v="17.89"/>
    <n v="308"/>
    <n v="9.6"/>
    <n v="157.06"/>
    <n v="1558.6"/>
    <n v="244793.72"/>
    <n v="4.4999999999999998E-2"/>
    <n v="233778"/>
    <n v="11506.31"/>
    <n v="0.20849999999999999"/>
    <n v="48742.71"/>
    <s v="Net 15"/>
    <s v="F. Haddad"/>
    <s v="Synthetic sample row shaped by public steel product sales and shipment references"/>
  </r>
  <r>
    <s v="STL-2025-00841"/>
    <x v="223"/>
    <n v="2025"/>
    <x v="5"/>
    <s v="Q4"/>
    <x v="5"/>
    <s v="Sri Lanka"/>
    <s v="Domestic direct"/>
    <x v="7"/>
    <s v="Infrastructure"/>
    <x v="0"/>
    <x v="0"/>
    <s v="BS 4449"/>
    <n v="18.79"/>
    <n v="22"/>
    <n v="9.9"/>
    <n v="167.15"/>
    <n v="700.48"/>
    <n v="117085.23"/>
    <n v="4.8099999999999997E-2"/>
    <n v="111453.43"/>
    <n v="3616.43"/>
    <n v="0.1416"/>
    <n v="15781.81"/>
    <s v="Net 45"/>
    <s v="A. Mehta"/>
    <s v="Synthetic sample row shaped by public steel product sales and shipment references"/>
  </r>
  <r>
    <s v="STL-2025-00843"/>
    <x v="142"/>
    <n v="2025"/>
    <x v="5"/>
    <s v="Q4"/>
    <x v="1"/>
    <s v="Poland"/>
    <s v="Export distributor"/>
    <x v="6"/>
    <s v="Infrastructure"/>
    <x v="0"/>
    <x v="0"/>
    <s v="IS 1786"/>
    <n v="17.45"/>
    <n v="16"/>
    <n v="9.6"/>
    <n v="152.78"/>
    <n v="735.72"/>
    <n v="112403.3"/>
    <n v="2.9100000000000001E-2"/>
    <n v="109132.36"/>
    <n v="8635.44"/>
    <n v="0.20749999999999999"/>
    <n v="22644.959999999999"/>
    <s v="Net 45"/>
    <s v="K. Wilson"/>
    <s v="Synthetic sample row shaped by public steel product sales and shipment references"/>
  </r>
  <r>
    <s v="STL-2025-00847"/>
    <x v="218"/>
    <n v="2025"/>
    <x v="3"/>
    <s v="Q2"/>
    <x v="4"/>
    <s v="Vietnam"/>
    <s v="Domestic direct"/>
    <x v="1"/>
    <s v="Construction"/>
    <x v="3"/>
    <x v="3"/>
    <s v="EN 10219"/>
    <n v="9.5399999999999991"/>
    <n v="598"/>
    <n v="8.5"/>
    <n v="70.14"/>
    <n v="1215.28"/>
    <n v="85239.74"/>
    <n v="4.8099999999999997E-2"/>
    <n v="81139.710000000006"/>
    <n v="2253.63"/>
    <n v="0.13469999999999999"/>
    <n v="10929.52"/>
    <s v="Advance"/>
    <s v="N. Sharma"/>
    <s v="Synthetic sample row shaped by public steel product sales and shipment references"/>
  </r>
  <r>
    <s v="STL-2024-00852"/>
    <x v="224"/>
    <n v="2024"/>
    <x v="4"/>
    <s v="Q2"/>
    <x v="4"/>
    <s v="Malaysia"/>
    <s v="Domestic direct"/>
    <x v="4"/>
    <s v="Infrastructure"/>
    <x v="0"/>
    <x v="0"/>
    <s v="BS 4449"/>
    <n v="30.41"/>
    <n v="32"/>
    <n v="5.3"/>
    <n v="453.63"/>
    <n v="822.38"/>
    <n v="373056.24"/>
    <n v="5.2499999999999998E-2"/>
    <n v="353470.79"/>
    <n v="13818.55"/>
    <n v="0.20200000000000001"/>
    <n v="71401.100000000006"/>
    <s v="Net 30"/>
    <s v="D. Chen"/>
    <s v="Synthetic sample row shaped by public steel product sales and shipment references"/>
  </r>
  <r>
    <s v="STL-2024-00854"/>
    <x v="225"/>
    <n v="2024"/>
    <x v="7"/>
    <s v="Q4"/>
    <x v="3"/>
    <s v="Mexico"/>
    <s v="Domestic direct"/>
    <x v="2"/>
    <s v="Energy"/>
    <x v="2"/>
    <x v="2"/>
    <s v="API N80"/>
    <n v="11.97"/>
    <n v="333"/>
    <n v="3.9"/>
    <n v="141.75"/>
    <n v="1648.06"/>
    <n v="233612.51"/>
    <n v="5.2499999999999998E-2"/>
    <n v="221347.85"/>
    <n v="4249.8"/>
    <n v="0.28100000000000003"/>
    <n v="62198.75"/>
    <s v="Net 15"/>
    <s v="D. Chen"/>
    <s v="Synthetic sample row shaped by public steel product sales and shipment references"/>
  </r>
  <r>
    <s v="STL-2025-00855"/>
    <x v="156"/>
    <n v="2025"/>
    <x v="11"/>
    <s v="Q4"/>
    <x v="0"/>
    <s v="Taiwan"/>
    <s v="Domestic direct"/>
    <x v="1"/>
    <s v="Energy"/>
    <x v="3"/>
    <x v="3"/>
    <s v="JIS G3444"/>
    <n v="9.74"/>
    <n v="541"/>
    <n v="10.9"/>
    <n v="156.22"/>
    <n v="1260.5999999999999"/>
    <n v="196930.93"/>
    <n v="5.7000000000000002E-2"/>
    <n v="185705.87"/>
    <n v="6533.67"/>
    <n v="0.25419999999999998"/>
    <n v="47206.43"/>
    <s v="LC at sight"/>
    <s v="N. Sharma"/>
    <s v="Synthetic sample row shaped by public steel product sales and shipment references"/>
  </r>
  <r>
    <s v="STL-2025-00861"/>
    <x v="44"/>
    <n v="2025"/>
    <x v="2"/>
    <s v="Q1"/>
    <x v="2"/>
    <s v="UAE"/>
    <s v="Export distributor"/>
    <x v="1"/>
    <s v="Infrastructure"/>
    <x v="3"/>
    <x v="3"/>
    <s v="EN 10219"/>
    <n v="6.09"/>
    <n v="69"/>
    <n v="5.8"/>
    <n v="35.049999999999997"/>
    <n v="1405.69"/>
    <n v="49269.43"/>
    <n v="6.0600000000000001E-2"/>
    <n v="46283.7"/>
    <n v="3395.77"/>
    <n v="0.18870000000000001"/>
    <n v="8733.73"/>
    <s v="LC at sight"/>
    <s v="F. Haddad"/>
    <s v="Synthetic sample row shaped by public steel product sales and shipment references"/>
  </r>
  <r>
    <s v="STL-2025-00874"/>
    <x v="226"/>
    <n v="2025"/>
    <x v="6"/>
    <s v="Q3"/>
    <x v="6"/>
    <s v="South Africa"/>
    <s v="Domestic direct"/>
    <x v="2"/>
    <s v="Construction"/>
    <x v="3"/>
    <x v="3"/>
    <s v="ASTM A53"/>
    <n v="3.85"/>
    <n v="201"/>
    <n v="4.5999999999999996"/>
    <n v="65.28"/>
    <n v="987.94"/>
    <n v="64492.72"/>
    <n v="1.9199999999999998E-2"/>
    <n v="63254.46"/>
    <n v="1387.55"/>
    <n v="0.13780000000000001"/>
    <n v="8716.4599999999991"/>
    <s v="Net 45"/>
    <s v="M. Alvarez"/>
    <s v="Synthetic sample row shaped by public steel product sales and shipment references"/>
  </r>
  <r>
    <s v="STL-2024-00876"/>
    <x v="227"/>
    <n v="2024"/>
    <x v="10"/>
    <s v="Q3"/>
    <x v="2"/>
    <s v="Saudi Arabia"/>
    <s v="Export distributor"/>
    <x v="1"/>
    <s v="Energy"/>
    <x v="2"/>
    <x v="2"/>
    <s v="API N80"/>
    <n v="16.010000000000002"/>
    <n v="75"/>
    <n v="9.5"/>
    <n v="99.43"/>
    <n v="1705.91"/>
    <n v="169618.63"/>
    <n v="2.9700000000000001E-2"/>
    <n v="164580.96"/>
    <n v="6326.9"/>
    <n v="0.2359"/>
    <n v="38824.65"/>
    <s v="Net 45"/>
    <s v="S. Kapoor"/>
    <s v="Synthetic sample row shaped by public steel product sales and shipment references"/>
  </r>
  <r>
    <s v="STL-2025-00878"/>
    <x v="228"/>
    <n v="2025"/>
    <x v="6"/>
    <s v="Q3"/>
    <x v="3"/>
    <s v="Mexico"/>
    <s v="Domestic direct"/>
    <x v="4"/>
    <s v="Energy"/>
    <x v="3"/>
    <x v="3"/>
    <s v="JIS G3444"/>
    <n v="3.45"/>
    <n v="441"/>
    <n v="10.9"/>
    <n v="170.66"/>
    <n v="1106.81"/>
    <n v="188888.19"/>
    <n v="4.9500000000000002E-2"/>
    <n v="179538.22"/>
    <n v="4576.1400000000003"/>
    <n v="0.20039999999999999"/>
    <n v="35979.46"/>
    <s v="Advance"/>
    <s v="D. Chen"/>
    <s v="Synthetic sample row shaped by public steel product sales and shipment references"/>
  </r>
  <r>
    <s v="STL-2025-00880"/>
    <x v="229"/>
    <n v="2025"/>
    <x v="4"/>
    <s v="Q2"/>
    <x v="4"/>
    <s v="Thailand"/>
    <s v="Domestic direct"/>
    <x v="1"/>
    <s v="Infrastructure"/>
    <x v="0"/>
    <x v="0"/>
    <s v="B500B"/>
    <n v="19.03"/>
    <n v="8"/>
    <n v="5.9"/>
    <n v="475.59"/>
    <n v="749.44"/>
    <n v="356426.17"/>
    <n v="4.6800000000000001E-2"/>
    <n v="339745.43"/>
    <n v="14310.95"/>
    <n v="0.14169999999999999"/>
    <n v="48141.93"/>
    <s v="LC at sight"/>
    <s v="A. Mehta"/>
    <s v="Synthetic sample row shaped by public steel product sales and shipment references"/>
  </r>
  <r>
    <s v="STL-2025-00881"/>
    <x v="230"/>
    <n v="2025"/>
    <x v="2"/>
    <s v="Q1"/>
    <x v="1"/>
    <s v="Germany"/>
    <s v="Export distributor"/>
    <x v="7"/>
    <s v="Industrial machinery"/>
    <x v="1"/>
    <x v="1"/>
    <s v="EN S355"/>
    <n v="46.79"/>
    <n v="1308"/>
    <n v="3.2"/>
    <n v="72.349999999999994"/>
    <n v="1283.1600000000001"/>
    <n v="92836.63"/>
    <n v="3.2399999999999998E-2"/>
    <n v="89828.72"/>
    <n v="5610.85"/>
    <n v="0.1205"/>
    <n v="10824.36"/>
    <s v="Net 30"/>
    <s v="F. Haddad"/>
    <s v="Synthetic sample row shaped by public steel product sales and shipment references"/>
  </r>
  <r>
    <s v="STL-2024-00885"/>
    <x v="231"/>
    <n v="2024"/>
    <x v="5"/>
    <s v="Q4"/>
    <x v="1"/>
    <s v="Germany"/>
    <s v="Export direct"/>
    <x v="7"/>
    <s v="Shipbuilding"/>
    <x v="1"/>
    <x v="1"/>
    <s v="ASTM A516"/>
    <n v="61.24"/>
    <n v="1911"/>
    <n v="6.8"/>
    <n v="122.22"/>
    <n v="1218.17"/>
    <n v="148884.74"/>
    <n v="3.0599999999999999E-2"/>
    <n v="144328.87"/>
    <n v="10363.73"/>
    <n v="0.21440000000000001"/>
    <n v="30944.11"/>
    <s v="Net 30"/>
    <s v="K. Wilson"/>
    <s v="Synthetic sample row shaped by public steel product sales and shipment references"/>
  </r>
  <r>
    <s v="STL-2024-00886"/>
    <x v="136"/>
    <n v="2024"/>
    <x v="2"/>
    <s v="Q1"/>
    <x v="6"/>
    <s v="Kenya"/>
    <s v="Export distributor"/>
    <x v="7"/>
    <s v="Infrastructure"/>
    <x v="0"/>
    <x v="0"/>
    <s v="IS 1786"/>
    <n v="34.86"/>
    <n v="31"/>
    <n v="6"/>
    <n v="578.08000000000004"/>
    <n v="746.57"/>
    <n v="431577.19"/>
    <n v="3.4200000000000001E-2"/>
    <n v="416817.25"/>
    <n v="32013.439999999999"/>
    <n v="0.123"/>
    <n v="51268.52"/>
    <s v="Net 30"/>
    <s v="D. Chen"/>
    <s v="Synthetic sample row shaped by public steel product sales and shipment references"/>
  </r>
  <r>
    <s v="STL-2024-00888"/>
    <x v="232"/>
    <n v="2024"/>
    <x v="6"/>
    <s v="Q3"/>
    <x v="2"/>
    <s v="UAE"/>
    <s v="Export distributor"/>
    <x v="1"/>
    <s v="Energy"/>
    <x v="2"/>
    <x v="2"/>
    <s v="API J55"/>
    <n v="14.72"/>
    <n v="285"/>
    <n v="6.1"/>
    <n v="44.87"/>
    <n v="1461.67"/>
    <n v="65585.13"/>
    <n v="5.0900000000000001E-2"/>
    <n v="62246.85"/>
    <n v="4345.7700000000004"/>
    <n v="0.25240000000000001"/>
    <n v="15711.1"/>
    <s v="Net 30"/>
    <s v="M. Alvarez"/>
    <s v="Synthetic sample row shaped by public steel product sales and shipment references"/>
  </r>
  <r>
    <s v="STL-2025-00891"/>
    <x v="233"/>
    <n v="2025"/>
    <x v="1"/>
    <s v="Q2"/>
    <x v="4"/>
    <s v="Thailand"/>
    <s v="Domestic direct"/>
    <x v="5"/>
    <s v="Infrastructure"/>
    <x v="3"/>
    <x v="3"/>
    <s v="ASTM A53"/>
    <n v="12.96"/>
    <n v="157"/>
    <n v="8.5"/>
    <n v="106.55"/>
    <n v="1188.17"/>
    <n v="126599.51"/>
    <n v="3.6799999999999999E-2"/>
    <n v="121940.65"/>
    <n v="3354.41"/>
    <n v="0.2281"/>
    <n v="27814.66"/>
    <s v="Net 15"/>
    <s v="S. Kapoor"/>
    <s v="Synthetic sample row shaped by public steel product sales and shipment references"/>
  </r>
  <r>
    <s v="STL-2025-00893"/>
    <x v="234"/>
    <n v="2025"/>
    <x v="9"/>
    <s v="Q1"/>
    <x v="0"/>
    <s v="South Korea"/>
    <s v="Domestic distributor"/>
    <x v="2"/>
    <s v="Shipbuilding"/>
    <x v="1"/>
    <x v="1"/>
    <s v="ASTM A572"/>
    <n v="26.95"/>
    <n v="3094"/>
    <n v="4"/>
    <n v="72.27"/>
    <n v="1112.79"/>
    <n v="80421.33"/>
    <n v="4.41E-2"/>
    <n v="76874.75"/>
    <n v="2553.86"/>
    <n v="0.18509999999999999"/>
    <n v="14229.52"/>
    <s v="Net 30"/>
    <s v="A. Mehta"/>
    <s v="Synthetic sample row shaped by public steel product sales and shipment references"/>
  </r>
  <r>
    <s v="STL-2024-00894"/>
    <x v="143"/>
    <n v="2024"/>
    <x v="9"/>
    <s v="Q1"/>
    <x v="2"/>
    <s v="Qatar"/>
    <s v="Domestic direct"/>
    <x v="7"/>
    <s v="Construction"/>
    <x v="0"/>
    <x v="0"/>
    <s v="B500B"/>
    <n v="9.26"/>
    <n v="18"/>
    <n v="11.6"/>
    <n v="196.01"/>
    <n v="793.16"/>
    <n v="155467.29"/>
    <n v="1.37E-2"/>
    <n v="153337.39000000001"/>
    <n v="5637.89"/>
    <n v="0.23089999999999999"/>
    <n v="35405.599999999999"/>
    <s v="Advance"/>
    <s v="K. Wilson"/>
    <s v="Synthetic sample row shaped by public steel product sales and shipment references"/>
  </r>
  <r>
    <s v="STL-2024-00896"/>
    <x v="235"/>
    <n v="2024"/>
    <x v="1"/>
    <s v="Q2"/>
    <x v="1"/>
    <s v="Spain"/>
    <s v="Export distributor"/>
    <x v="3"/>
    <s v="Construction"/>
    <x v="3"/>
    <x v="3"/>
    <s v="JIS G3444"/>
    <n v="3.79"/>
    <n v="341"/>
    <n v="9.9"/>
    <n v="83.11"/>
    <n v="1251.27"/>
    <n v="103993.05"/>
    <n v="3.5900000000000001E-2"/>
    <n v="100259.7"/>
    <n v="6173.14"/>
    <n v="0.1366"/>
    <n v="13695.48"/>
    <s v="Advance"/>
    <s v="S. Kapoor"/>
    <s v="Synthetic sample row shaped by public steel product sales and shipment references"/>
  </r>
  <r>
    <s v="STL-2024-00899"/>
    <x v="201"/>
    <n v="2024"/>
    <x v="10"/>
    <s v="Q3"/>
    <x v="4"/>
    <s v="Malaysia"/>
    <s v="Export direct"/>
    <x v="0"/>
    <s v="Energy"/>
    <x v="2"/>
    <x v="2"/>
    <s v="API J55"/>
    <n v="6.23"/>
    <n v="261"/>
    <n v="5.6"/>
    <n v="36.450000000000003"/>
    <n v="1405.37"/>
    <n v="51225.74"/>
    <n v="2.41E-2"/>
    <n v="49991.199999999997"/>
    <n v="2085.06"/>
    <n v="0.16619999999999999"/>
    <n v="8308.5400000000009"/>
    <s v="Net 30"/>
    <s v="M. Alvarez"/>
    <s v="Synthetic sample row shaped by public steel product sales and shipment references"/>
  </r>
  <r>
    <s v="STL-2025-00906"/>
    <x v="236"/>
    <n v="2025"/>
    <x v="2"/>
    <s v="Q1"/>
    <x v="4"/>
    <s v="Thailand"/>
    <s v="Export direct"/>
    <x v="4"/>
    <s v="Infrastructure"/>
    <x v="0"/>
    <x v="0"/>
    <s v="ASTM A615"/>
    <n v="25.3"/>
    <n v="37"/>
    <n v="4.0999999999999996"/>
    <n v="554.69000000000005"/>
    <n v="741.34"/>
    <n v="411213.88"/>
    <n v="5.7299999999999997E-2"/>
    <n v="387651.32"/>
    <n v="40971.550000000003"/>
    <n v="0.13930000000000001"/>
    <n v="53999.83"/>
    <s v="Advance"/>
    <s v="F. Haddad"/>
    <s v="Synthetic sample row shaped by public steel product sales and shipment references"/>
  </r>
  <r>
    <s v="STL-2024-00907"/>
    <x v="237"/>
    <n v="2024"/>
    <x v="5"/>
    <s v="Q4"/>
    <x v="2"/>
    <s v="Saudi Arabia"/>
    <s v="Domestic direct"/>
    <x v="7"/>
    <s v="Construction"/>
    <x v="3"/>
    <x v="3"/>
    <s v="EN 10219"/>
    <n v="10.11"/>
    <n v="304"/>
    <n v="11"/>
    <n v="122.76"/>
    <n v="1249.73"/>
    <n v="153416.85"/>
    <n v="4.02E-2"/>
    <n v="147249.49"/>
    <n v="4906.6400000000003"/>
    <n v="0.1794"/>
    <n v="26416.560000000001"/>
    <s v="Net 15"/>
    <s v="F. Haddad"/>
    <s v="Synthetic sample row shaped by public steel product sales and shipment references"/>
  </r>
  <r>
    <s v="STL-2024-00915"/>
    <x v="67"/>
    <n v="2024"/>
    <x v="6"/>
    <s v="Q3"/>
    <x v="6"/>
    <s v="Egypt"/>
    <s v="Export distributor"/>
    <x v="2"/>
    <s v="Energy"/>
    <x v="2"/>
    <x v="2"/>
    <s v="API N80"/>
    <n v="6.8"/>
    <n v="300"/>
    <n v="4.4000000000000004"/>
    <n v="178.22"/>
    <n v="1426.61"/>
    <n v="254250.43"/>
    <n v="2.53E-2"/>
    <n v="247817.89"/>
    <n v="11243.78"/>
    <n v="0.20419999999999999"/>
    <n v="50604.41"/>
    <s v="Net 15"/>
    <s v="S. Kapoor"/>
    <s v="Synthetic sample row shaped by public steel product sales and shipment references"/>
  </r>
  <r>
    <s v="STL-2025-00918"/>
    <x v="60"/>
    <n v="2025"/>
    <x v="9"/>
    <s v="Q1"/>
    <x v="1"/>
    <s v="Poland"/>
    <s v="Domestic direct"/>
    <x v="6"/>
    <s v="Infrastructure"/>
    <x v="0"/>
    <x v="0"/>
    <s v="BS 4449"/>
    <n v="23.15"/>
    <n v="21"/>
    <n v="8.9"/>
    <n v="48.76"/>
    <n v="710.95"/>
    <n v="34665.919999999998"/>
    <n v="5.0799999999999998E-2"/>
    <n v="32904.89"/>
    <n v="1070.83"/>
    <n v="0.2036"/>
    <n v="6699.44"/>
    <s v="Net 15"/>
    <s v="M. Alvarez"/>
    <s v="Synthetic sample row shaped by public steel product sales and shipment references"/>
  </r>
  <r>
    <s v="STL-2024-00924"/>
    <x v="238"/>
    <n v="2024"/>
    <x v="1"/>
    <s v="Q2"/>
    <x v="6"/>
    <s v="Egypt"/>
    <s v="Export direct"/>
    <x v="0"/>
    <s v="Construction"/>
    <x v="3"/>
    <x v="3"/>
    <s v="API 5L"/>
    <n v="15.1"/>
    <n v="523"/>
    <n v="3.8"/>
    <n v="243.41"/>
    <n v="1146.5"/>
    <n v="279069.57"/>
    <n v="3.4700000000000002E-2"/>
    <n v="269385.86"/>
    <n v="21728.41"/>
    <n v="0.2039"/>
    <n v="54927.78"/>
    <s v="Net 45"/>
    <s v="D. Chen"/>
    <s v="Synthetic sample row shaped by public steel product sales and shipment references"/>
  </r>
  <r>
    <s v="STL-2025-00926"/>
    <x v="95"/>
    <n v="2025"/>
    <x v="10"/>
    <s v="Q3"/>
    <x v="5"/>
    <s v="India"/>
    <s v="Export distributor"/>
    <x v="2"/>
    <s v="Energy"/>
    <x v="2"/>
    <x v="2"/>
    <s v="API L80"/>
    <n v="5.05"/>
    <n v="170"/>
    <n v="8.6999999999999993"/>
    <n v="20.77"/>
    <n v="1400.62"/>
    <n v="29090.880000000001"/>
    <n v="6.2899999999999998E-2"/>
    <n v="27261.06"/>
    <n v="1609.31"/>
    <n v="0.15179999999999999"/>
    <n v="4138.2299999999996"/>
    <s v="Net 15"/>
    <s v="K. Wilson"/>
    <s v="Synthetic sample row shaped by public steel product sales and shipment references"/>
  </r>
  <r>
    <s v="STL-2025-00929"/>
    <x v="175"/>
    <n v="2025"/>
    <x v="9"/>
    <s v="Q1"/>
    <x v="0"/>
    <s v="South Korea"/>
    <s v="Domestic distributor"/>
    <x v="2"/>
    <s v="Shipbuilding"/>
    <x v="1"/>
    <x v="1"/>
    <s v="JIS SM490"/>
    <n v="74.739999999999995"/>
    <n v="1967"/>
    <n v="3"/>
    <n v="13.62"/>
    <n v="1130.05"/>
    <n v="15391.28"/>
    <n v="4.9500000000000002E-2"/>
    <n v="14629.41"/>
    <n v="510.12"/>
    <n v="0.2492"/>
    <n v="3645.65"/>
    <s v="Net 15"/>
    <s v="K. Wilson"/>
    <s v="Synthetic sample row shaped by public steel product sales and shipment references"/>
  </r>
  <r>
    <s v="STL-2024-00930"/>
    <x v="239"/>
    <n v="2024"/>
    <x v="11"/>
    <s v="Q4"/>
    <x v="6"/>
    <s v="Egypt"/>
    <s v="Domestic distributor"/>
    <x v="3"/>
    <s v="Energy"/>
    <x v="3"/>
    <x v="3"/>
    <s v="EN 10219"/>
    <n v="15.82"/>
    <n v="575"/>
    <n v="4.5"/>
    <n v="100.84"/>
    <n v="1093.1400000000001"/>
    <n v="110232.24"/>
    <n v="3.0499999999999999E-2"/>
    <n v="106870.16"/>
    <n v="3352.18"/>
    <n v="0.25019999999999998"/>
    <n v="26738.91"/>
    <s v="Net 15"/>
    <s v="F. Haddad"/>
    <s v="Synthetic sample row shaped by public steel product sales and shipment references"/>
  </r>
  <r>
    <s v="STL-2024-00931"/>
    <x v="240"/>
    <n v="2024"/>
    <x v="9"/>
    <s v="Q1"/>
    <x v="6"/>
    <s v="Kenya"/>
    <s v="Export distributor"/>
    <x v="4"/>
    <s v="Construction"/>
    <x v="3"/>
    <x v="3"/>
    <s v="EN 10219"/>
    <n v="14.8"/>
    <n v="354"/>
    <n v="7.2"/>
    <n v="65.41"/>
    <n v="1159.3499999999999"/>
    <n v="75833.08"/>
    <n v="4.3999999999999997E-2"/>
    <n v="72496.42"/>
    <n v="3818.28"/>
    <n v="0.11840000000000001"/>
    <n v="8583.58"/>
    <s v="Advance"/>
    <s v="S. Kapoor"/>
    <s v="Synthetic sample row shaped by public steel product sales and shipment references"/>
  </r>
  <r>
    <s v="STL-2025-00937"/>
    <x v="186"/>
    <n v="2025"/>
    <x v="2"/>
    <s v="Q1"/>
    <x v="0"/>
    <s v="Japan"/>
    <s v="Export direct"/>
    <x v="1"/>
    <s v="Construction"/>
    <x v="0"/>
    <x v="0"/>
    <s v="ASTM A615"/>
    <n v="25.62"/>
    <n v="32"/>
    <n v="8.1999999999999993"/>
    <n v="591.45000000000005"/>
    <n v="728.59"/>
    <n v="430924.56"/>
    <n v="4.1500000000000002E-2"/>
    <n v="413041.19"/>
    <n v="31247.56"/>
    <n v="0.21560000000000001"/>
    <n v="89051.68"/>
    <s v="Advance"/>
    <s v="N. Sharma"/>
    <s v="Synthetic sample row shaped by public steel product sales and shipment references"/>
  </r>
  <r>
    <s v="STL-2024-00938"/>
    <x v="241"/>
    <n v="2024"/>
    <x v="11"/>
    <s v="Q4"/>
    <x v="2"/>
    <s v="Saudi Arabia"/>
    <s v="Export distributor"/>
    <x v="6"/>
    <s v="Energy"/>
    <x v="1"/>
    <x v="1"/>
    <s v="ASTM A516"/>
    <n v="69.02"/>
    <n v="2114"/>
    <n v="5.7"/>
    <n v="134.91999999999999"/>
    <n v="1220.72"/>
    <n v="164699.54"/>
    <n v="4.6899999999999997E-2"/>
    <n v="156975.13"/>
    <n v="9797.94"/>
    <n v="9.8100000000000007E-2"/>
    <n v="15399.26"/>
    <s v="Net 30"/>
    <s v="K. Wilson"/>
    <s v="Synthetic sample row shaped by public steel product sales and shipment references"/>
  </r>
  <r>
    <s v="STL-2025-00946"/>
    <x v="21"/>
    <n v="2025"/>
    <x v="8"/>
    <s v="Q1"/>
    <x v="6"/>
    <s v="South Africa"/>
    <s v="Domestic distributor"/>
    <x v="5"/>
    <s v="Industrial machinery"/>
    <x v="1"/>
    <x v="1"/>
    <s v="ASTM A516"/>
    <n v="66.8"/>
    <n v="1849"/>
    <n v="5.6"/>
    <n v="115.96"/>
    <n v="1043.56"/>
    <n v="121011.22"/>
    <n v="4.0599999999999997E-2"/>
    <n v="116098.16"/>
    <n v="2138.15"/>
    <n v="0.11219999999999999"/>
    <n v="13026.21"/>
    <s v="Net 30"/>
    <s v="R. Iyer"/>
    <s v="Synthetic sample row shaped by public steel product sales and shipment references"/>
  </r>
  <r>
    <s v="STL-2025-00949"/>
    <x v="242"/>
    <n v="2025"/>
    <x v="10"/>
    <s v="Q3"/>
    <x v="3"/>
    <s v="United States"/>
    <s v="Domestic direct"/>
    <x v="4"/>
    <s v="Shipbuilding"/>
    <x v="1"/>
    <x v="1"/>
    <s v="ASTM A572"/>
    <n v="10.6"/>
    <n v="1258"/>
    <n v="3.1"/>
    <n v="13.01"/>
    <n v="1082.99"/>
    <n v="14089.7"/>
    <n v="1.3299999999999999E-2"/>
    <n v="13902.31"/>
    <n v="519.34"/>
    <n v="0.112"/>
    <n v="1557.06"/>
    <s v="LC at sight"/>
    <s v="D. Chen"/>
    <s v="Synthetic sample row shaped by public steel product sales and shipment references"/>
  </r>
  <r>
    <s v="STL-2025-00953"/>
    <x v="243"/>
    <n v="2025"/>
    <x v="3"/>
    <s v="Q2"/>
    <x v="1"/>
    <s v="Poland"/>
    <s v="Domestic direct"/>
    <x v="4"/>
    <s v="Energy"/>
    <x v="1"/>
    <x v="1"/>
    <s v="JIS SM490"/>
    <n v="64.75"/>
    <n v="2784"/>
    <n v="5.3"/>
    <n v="89.14"/>
    <n v="1253.8900000000001"/>
    <n v="111771.75"/>
    <n v="3.9300000000000002E-2"/>
    <n v="107379.12"/>
    <n v="1729.65"/>
    <n v="0.26929999999999998"/>
    <n v="28917.200000000001"/>
    <s v="Advance"/>
    <s v="S. Kapoor"/>
    <s v="Synthetic sample row shaped by public steel product sales and shipment references"/>
  </r>
  <r>
    <s v="STL-2025-00961"/>
    <x v="244"/>
    <n v="2025"/>
    <x v="3"/>
    <s v="Q2"/>
    <x v="4"/>
    <s v="Thailand"/>
    <s v="Domestic distributor"/>
    <x v="0"/>
    <s v="Construction"/>
    <x v="0"/>
    <x v="0"/>
    <s v="IS 1786"/>
    <n v="23.2"/>
    <n v="32"/>
    <n v="5.9"/>
    <n v="163.26"/>
    <n v="791.45"/>
    <n v="129212.13"/>
    <n v="4.5999999999999999E-2"/>
    <n v="123268.37"/>
    <n v="6650.47"/>
    <n v="0.16750000000000001"/>
    <n v="20647.45"/>
    <s v="Advance"/>
    <s v="N. Sharma"/>
    <s v="Synthetic sample row shaped by public steel product sales and shipment references"/>
  </r>
  <r>
    <s v="STL-2025-00966"/>
    <x v="245"/>
    <n v="2025"/>
    <x v="3"/>
    <s v="Q2"/>
    <x v="5"/>
    <s v="Sri Lanka"/>
    <s v="Domestic direct"/>
    <x v="3"/>
    <s v="Infrastructure"/>
    <x v="3"/>
    <x v="3"/>
    <s v="API 5L"/>
    <n v="5.64"/>
    <n v="104"/>
    <n v="8.5"/>
    <n v="113.36"/>
    <n v="1228.69"/>
    <n v="139284.29999999999"/>
    <n v="4.7300000000000002E-2"/>
    <n v="132696.15"/>
    <n v="3273.88"/>
    <n v="0.18379999999999999"/>
    <n v="24389.55"/>
    <s v="Advance"/>
    <s v="D. Chen"/>
    <s v="Synthetic sample row shaped by public steel product sales and shipment references"/>
  </r>
  <r>
    <s v="STL-2025-00969"/>
    <x v="4"/>
    <n v="2025"/>
    <x v="4"/>
    <s v="Q2"/>
    <x v="1"/>
    <s v="Germany"/>
    <s v="Domestic direct"/>
    <x v="3"/>
    <s v="Shipbuilding"/>
    <x v="1"/>
    <x v="1"/>
    <s v="JIS SM490"/>
    <n v="56.08"/>
    <n v="2715"/>
    <n v="7.8"/>
    <n v="87.92"/>
    <n v="1309.28"/>
    <n v="115111.9"/>
    <n v="2.1399999999999999E-2"/>
    <n v="112648.51"/>
    <n v="2633.67"/>
    <n v="0.20169999999999999"/>
    <n v="22721.200000000001"/>
    <s v="Net 45"/>
    <s v="K. Wilson"/>
    <s v="Synthetic sample row shaped by public steel product sales and shipment references"/>
  </r>
  <r>
    <s v="STL-2024-00972"/>
    <x v="246"/>
    <n v="2024"/>
    <x v="6"/>
    <s v="Q3"/>
    <x v="6"/>
    <s v="Kenya"/>
    <s v="Export direct"/>
    <x v="7"/>
    <s v="Infrastructure"/>
    <x v="3"/>
    <x v="3"/>
    <s v="API 5L"/>
    <n v="7.75"/>
    <n v="442"/>
    <n v="11.6"/>
    <n v="189.74"/>
    <n v="1063.08"/>
    <n v="201708.79999999999"/>
    <n v="5.5100000000000003E-2"/>
    <n v="190594.65"/>
    <n v="14041.18"/>
    <n v="0.25729999999999997"/>
    <n v="49040"/>
    <s v="Net 15"/>
    <s v="A. Mehta"/>
    <s v="Synthetic sample row shaped by public steel product sales and shipment references"/>
  </r>
  <r>
    <s v="STL-2024-00974"/>
    <x v="247"/>
    <n v="2024"/>
    <x v="4"/>
    <s v="Q2"/>
    <x v="1"/>
    <s v="Poland"/>
    <s v="Export direct"/>
    <x v="0"/>
    <s v="Energy"/>
    <x v="2"/>
    <x v="2"/>
    <s v="API L80"/>
    <n v="8.9"/>
    <n v="302"/>
    <n v="6.9"/>
    <n v="88.4"/>
    <n v="1523.83"/>
    <n v="134706.57"/>
    <n v="3.04E-2"/>
    <n v="130611.49"/>
    <n v="5469.68"/>
    <n v="0.21659999999999999"/>
    <n v="28290.45"/>
    <s v="Net 15"/>
    <s v="M. Alvarez"/>
    <s v="Synthetic sample row shaped by public steel product sales and shipment references"/>
  </r>
  <r>
    <s v="STL-2024-00976"/>
    <x v="205"/>
    <n v="2024"/>
    <x v="8"/>
    <s v="Q1"/>
    <x v="5"/>
    <s v="Bangladesh"/>
    <s v="Export direct"/>
    <x v="2"/>
    <s v="Energy"/>
    <x v="3"/>
    <x v="3"/>
    <s v="API 5L"/>
    <n v="4.9000000000000004"/>
    <n v="276"/>
    <n v="5.4"/>
    <n v="59.38"/>
    <n v="1000.7"/>
    <n v="59421.57"/>
    <n v="4.2500000000000003E-2"/>
    <n v="56896.15"/>
    <n v="3106.22"/>
    <n v="0.24049999999999999"/>
    <n v="13683.52"/>
    <s v="Net 45"/>
    <s v="S. Kapoor"/>
    <s v="Synthetic sample row shaped by public steel product sales and shipment references"/>
  </r>
  <r>
    <s v="STL-2025-00979"/>
    <x v="248"/>
    <n v="2025"/>
    <x v="2"/>
    <s v="Q1"/>
    <x v="3"/>
    <s v="Canada"/>
    <s v="Domestic direct"/>
    <x v="0"/>
    <s v="Shipbuilding"/>
    <x v="1"/>
    <x v="1"/>
    <s v="JIS SM490"/>
    <n v="32.49"/>
    <n v="2589"/>
    <n v="6.4"/>
    <n v="19.239999999999998"/>
    <n v="1273.71"/>
    <n v="24506.18"/>
    <n v="1.8700000000000001E-2"/>
    <n v="24047.91"/>
    <n v="800.2"/>
    <n v="0.18410000000000001"/>
    <n v="4427.22"/>
    <s v="Net 45"/>
    <s v="A. Mehta"/>
    <s v="Synthetic sample row shaped by public steel product sales and shipment references"/>
  </r>
  <r>
    <s v="STL-2025-00980"/>
    <x v="249"/>
    <n v="2025"/>
    <x v="7"/>
    <s v="Q4"/>
    <x v="1"/>
    <s v="Germany"/>
    <s v="Domestic direct"/>
    <x v="0"/>
    <s v="Construction"/>
    <x v="3"/>
    <x v="3"/>
    <s v="ASTM A53"/>
    <n v="8.6999999999999993"/>
    <n v="351"/>
    <n v="5.6"/>
    <n v="123.41"/>
    <n v="1288.44"/>
    <n v="159006.38"/>
    <n v="3.0499999999999999E-2"/>
    <n v="154156.69"/>
    <n v="3303.92"/>
    <n v="0.11119999999999999"/>
    <n v="17142.22"/>
    <s v="Net 45"/>
    <s v="S. Kapoor"/>
    <s v="Synthetic sample row shaped by public steel product sales and shipment references"/>
  </r>
  <r>
    <s v="STL-2024-00983"/>
    <x v="250"/>
    <n v="2024"/>
    <x v="2"/>
    <s v="Q1"/>
    <x v="3"/>
    <s v="Mexico"/>
    <s v="Domestic direct"/>
    <x v="1"/>
    <s v="Industrial machinery"/>
    <x v="1"/>
    <x v="1"/>
    <s v="ASTM A516"/>
    <n v="45.15"/>
    <n v="2105"/>
    <n v="4.7"/>
    <n v="23.59"/>
    <n v="1212.43"/>
    <n v="28601.22"/>
    <n v="1.32E-2"/>
    <n v="28223.68"/>
    <n v="595.70000000000005"/>
    <n v="0.1111"/>
    <n v="3135.65"/>
    <s v="Advance"/>
    <s v="R. Iyer"/>
    <s v="Synthetic sample row shaped by public steel product sales and shipment references"/>
  </r>
  <r>
    <s v="STL-2024-00986"/>
    <x v="251"/>
    <n v="2024"/>
    <x v="7"/>
    <s v="Q4"/>
    <x v="6"/>
    <s v="Kenya"/>
    <s v="Export distributor"/>
    <x v="3"/>
    <s v="Energy"/>
    <x v="3"/>
    <x v="3"/>
    <s v="API 5L"/>
    <n v="2.5"/>
    <n v="592"/>
    <n v="6.8"/>
    <n v="20.68"/>
    <n v="1214.57"/>
    <n v="25117.31"/>
    <n v="4.4400000000000002E-2"/>
    <n v="24002.1"/>
    <n v="1314.56"/>
    <n v="0.1646"/>
    <n v="3950.75"/>
    <s v="Advance"/>
    <s v="K. Wilson"/>
    <s v="Synthetic sample row shaped by public steel product sales and shipment references"/>
  </r>
  <r>
    <s v="STL-2025-00988"/>
    <x v="252"/>
    <n v="2025"/>
    <x v="11"/>
    <s v="Q4"/>
    <x v="4"/>
    <s v="Vietnam"/>
    <s v="Export distributor"/>
    <x v="5"/>
    <s v="Industrial machinery"/>
    <x v="1"/>
    <x v="1"/>
    <s v="ASTM A572"/>
    <n v="32.25"/>
    <n v="2884"/>
    <n v="5.0999999999999996"/>
    <n v="63.51"/>
    <n v="1135.67"/>
    <n v="72126.399999999994"/>
    <n v="3.7900000000000003E-2"/>
    <n v="69392.81"/>
    <n v="4955.9799999999996"/>
    <n v="0.19950000000000001"/>
    <n v="13843.87"/>
    <s v="LC at sight"/>
    <s v="F. Haddad"/>
    <s v="Synthetic sample row shaped by public steel product sales and shipment references"/>
  </r>
  <r>
    <s v="STL-2024-00990"/>
    <x v="219"/>
    <n v="2024"/>
    <x v="1"/>
    <s v="Q2"/>
    <x v="4"/>
    <s v="Indonesia"/>
    <s v="Domestic direct"/>
    <x v="0"/>
    <s v="Energy"/>
    <x v="3"/>
    <x v="3"/>
    <s v="JIS G3444"/>
    <n v="11.34"/>
    <n v="576"/>
    <n v="8"/>
    <n v="61.47"/>
    <n v="1139.29"/>
    <n v="70032.160000000003"/>
    <n v="1.61E-2"/>
    <n v="68904.639999999999"/>
    <n v="1341.34"/>
    <n v="0.19900000000000001"/>
    <n v="13712.02"/>
    <s v="Advance"/>
    <s v="K. Wilson"/>
    <s v="Synthetic sample row shaped by public steel product sales and shipment references"/>
  </r>
  <r>
    <s v="STL-2025-00993"/>
    <x v="195"/>
    <n v="2025"/>
    <x v="5"/>
    <s v="Q4"/>
    <x v="1"/>
    <s v="Spain"/>
    <s v="Domestic direct"/>
    <x v="3"/>
    <s v="Energy"/>
    <x v="1"/>
    <x v="1"/>
    <s v="ASTM A516"/>
    <n v="49.91"/>
    <n v="1785"/>
    <n v="4.5"/>
    <n v="20.54"/>
    <n v="1239.22"/>
    <n v="25453.58"/>
    <n v="3.95E-2"/>
    <n v="24448.16"/>
    <n v="764.04"/>
    <n v="0.21490000000000001"/>
    <n v="5253.91"/>
    <s v="Net 15"/>
    <s v="A. Mehta"/>
    <s v="Synthetic sample row shaped by public steel product sales and shipment references"/>
  </r>
  <r>
    <s v="STL-2024-00997"/>
    <x v="253"/>
    <n v="2024"/>
    <x v="7"/>
    <s v="Q4"/>
    <x v="5"/>
    <s v="Bangladesh"/>
    <s v="Export direct"/>
    <x v="7"/>
    <s v="Shipbuilding"/>
    <x v="1"/>
    <x v="1"/>
    <s v="JIS SM490"/>
    <n v="39.89"/>
    <n v="2058"/>
    <n v="5.4"/>
    <n v="236.95"/>
    <n v="1078.82"/>
    <n v="255626.4"/>
    <n v="3.9899999999999998E-2"/>
    <n v="245426.91"/>
    <n v="14489.91"/>
    <n v="0.1429"/>
    <n v="35071.51"/>
    <s v="Net 30"/>
    <s v="A. Mehta"/>
    <s v="Synthetic sample row shaped by public steel product sales and shipment references"/>
  </r>
  <r>
    <s v="STL-2025-00999"/>
    <x v="254"/>
    <n v="2025"/>
    <x v="2"/>
    <s v="Q1"/>
    <x v="5"/>
    <s v="India"/>
    <s v="Export distributor"/>
    <x v="3"/>
    <s v="Infrastructure"/>
    <x v="0"/>
    <x v="0"/>
    <s v="ASTM A615"/>
    <n v="25.81"/>
    <n v="39"/>
    <n v="10.9"/>
    <n v="195.67"/>
    <n v="691.93"/>
    <n v="135389.94"/>
    <n v="5.9299999999999999E-2"/>
    <n v="127361.32"/>
    <n v="16565.939999999999"/>
    <n v="0.16650000000000001"/>
    <n v="21205.66"/>
    <s v="Advance"/>
    <s v="K. Wilson"/>
    <s v="Synthetic sample row shaped by public steel product sales and shipment references"/>
  </r>
  <r>
    <s v="STL-2024-01009"/>
    <x v="70"/>
    <n v="2024"/>
    <x v="8"/>
    <s v="Q1"/>
    <x v="2"/>
    <s v="Saudi Arabia"/>
    <s v="Export distributor"/>
    <x v="7"/>
    <s v="Energy"/>
    <x v="1"/>
    <x v="1"/>
    <s v="ASTM A572"/>
    <n v="6.72"/>
    <n v="2782"/>
    <n v="6.1"/>
    <n v="168.06"/>
    <n v="1069.3399999999999"/>
    <n v="179713.28"/>
    <n v="1.9599999999999999E-2"/>
    <n v="176190.9"/>
    <n v="9359.08"/>
    <n v="0.15770000000000001"/>
    <n v="27785.3"/>
    <s v="Net 30"/>
    <s v="N. Sharma"/>
    <s v="Synthetic sample row shaped by public steel product sales and shipment references"/>
  </r>
  <r>
    <s v="STL-2024-01011"/>
    <x v="208"/>
    <n v="2024"/>
    <x v="3"/>
    <s v="Q2"/>
    <x v="4"/>
    <s v="Thailand"/>
    <s v="Export direct"/>
    <x v="0"/>
    <s v="Energy"/>
    <x v="2"/>
    <x v="2"/>
    <s v="API N80"/>
    <n v="6.67"/>
    <n v="110"/>
    <n v="6.9"/>
    <n v="207.28"/>
    <n v="1584.83"/>
    <n v="328503.56"/>
    <n v="4.3200000000000002E-2"/>
    <n v="314312.21000000002"/>
    <n v="14593.09"/>
    <n v="0.2581"/>
    <n v="81123.98"/>
    <s v="Net 15"/>
    <s v="A. Mehta"/>
    <s v="Synthetic sample row shaped by public steel product sales and shipment references"/>
  </r>
  <r>
    <s v="STL-2025-01012"/>
    <x v="255"/>
    <n v="2025"/>
    <x v="11"/>
    <s v="Q4"/>
    <x v="4"/>
    <s v="Vietnam"/>
    <s v="Domestic direct"/>
    <x v="7"/>
    <s v="Energy"/>
    <x v="2"/>
    <x v="2"/>
    <s v="API J55"/>
    <n v="11.48"/>
    <n v="305"/>
    <n v="5.3"/>
    <n v="68.09"/>
    <n v="1650.49"/>
    <n v="112381.86"/>
    <n v="4.0899999999999999E-2"/>
    <n v="107785.44"/>
    <n v="2192.62"/>
    <n v="0.21820000000000001"/>
    <n v="23518.78"/>
    <s v="Net 45"/>
    <s v="R. Iyer"/>
    <s v="Synthetic sample row shaped by public steel product sales and shipment references"/>
  </r>
  <r>
    <s v="STL-2024-01013"/>
    <x v="256"/>
    <n v="2024"/>
    <x v="1"/>
    <s v="Q2"/>
    <x v="5"/>
    <s v="Sri Lanka"/>
    <s v="Domestic direct"/>
    <x v="3"/>
    <s v="Energy"/>
    <x v="2"/>
    <x v="2"/>
    <s v="API N80"/>
    <n v="16.760000000000002"/>
    <n v="329"/>
    <n v="8.6"/>
    <n v="164.47"/>
    <n v="1496.92"/>
    <n v="246198.43"/>
    <n v="2.9399999999999999E-2"/>
    <n v="238960.2"/>
    <n v="3270.03"/>
    <n v="0.25269999999999998"/>
    <n v="60385.24"/>
    <s v="Net 15"/>
    <s v="D. Chen"/>
    <s v="Synthetic sample row shaped by public steel product sales and shipment references"/>
  </r>
  <r>
    <s v="STL-2024-01015"/>
    <x v="257"/>
    <n v="2024"/>
    <x v="10"/>
    <s v="Q3"/>
    <x v="0"/>
    <s v="South Korea"/>
    <s v="Domestic direct"/>
    <x v="1"/>
    <s v="Energy"/>
    <x v="3"/>
    <x v="3"/>
    <s v="EN 10219"/>
    <n v="11.13"/>
    <n v="121"/>
    <n v="10"/>
    <n v="158.69999999999999"/>
    <n v="1058.21"/>
    <n v="167937.93"/>
    <n v="2.1399999999999999E-2"/>
    <n v="164344.06"/>
    <n v="4249.0200000000004"/>
    <n v="0.16919999999999999"/>
    <n v="27807.01"/>
    <s v="Net 30"/>
    <s v="N. Sharma"/>
    <s v="Synthetic sample row shaped by public steel product sales and shipment references"/>
  </r>
  <r>
    <s v="STL-2024-01019"/>
    <x v="258"/>
    <n v="2024"/>
    <x v="11"/>
    <s v="Q4"/>
    <x v="4"/>
    <s v="Thailand"/>
    <s v="Export distributor"/>
    <x v="0"/>
    <s v="Industrial machinery"/>
    <x v="1"/>
    <x v="1"/>
    <s v="ASTM A516"/>
    <n v="43.04"/>
    <n v="1724"/>
    <n v="5.4"/>
    <n v="205.96"/>
    <n v="1207.1199999999999"/>
    <n v="248618.44"/>
    <n v="4.1099999999999998E-2"/>
    <n v="238400.22"/>
    <n v="12556.39"/>
    <n v="0.18160000000000001"/>
    <n v="43293.48"/>
    <s v="Net 30"/>
    <s v="F. Haddad"/>
    <s v="Synthetic sample row shaped by public steel product sales and shipment references"/>
  </r>
  <r>
    <s v="STL-2024-01022"/>
    <x v="31"/>
    <n v="2024"/>
    <x v="10"/>
    <s v="Q3"/>
    <x v="3"/>
    <s v="Canada"/>
    <s v="Export direct"/>
    <x v="1"/>
    <s v="Construction"/>
    <x v="3"/>
    <x v="3"/>
    <s v="JIS G3444"/>
    <n v="7.41"/>
    <n v="525"/>
    <n v="5.4"/>
    <n v="104.92"/>
    <n v="1222.8800000000001"/>
    <n v="128304.57"/>
    <n v="3.1300000000000001E-2"/>
    <n v="124288.64"/>
    <n v="8503.5400000000009"/>
    <n v="0.17879999999999999"/>
    <n v="22222.81"/>
    <s v="Advance"/>
    <s v="R. Iyer"/>
    <s v="Synthetic sample row shaped by public steel product sales and shipment references"/>
  </r>
  <r>
    <s v="STL-2024-01024"/>
    <x v="259"/>
    <n v="2024"/>
    <x v="2"/>
    <s v="Q1"/>
    <x v="1"/>
    <s v="Poland"/>
    <s v="Domestic distributor"/>
    <x v="7"/>
    <s v="Energy"/>
    <x v="2"/>
    <x v="2"/>
    <s v="API J55"/>
    <n v="17"/>
    <n v="186"/>
    <n v="9.6"/>
    <n v="41.15"/>
    <n v="1747.95"/>
    <n v="71928.14"/>
    <n v="1.9099999999999999E-2"/>
    <n v="70554.31"/>
    <n v="1255.99"/>
    <n v="0.24010000000000001"/>
    <n v="16940.09"/>
    <s v="Advance"/>
    <s v="K. Wilson"/>
    <s v="Synthetic sample row shaped by public steel product sales and shipment references"/>
  </r>
  <r>
    <s v="STL-2024-01025"/>
    <x v="260"/>
    <n v="2024"/>
    <x v="8"/>
    <s v="Q1"/>
    <x v="6"/>
    <s v="Egypt"/>
    <s v="Export direct"/>
    <x v="6"/>
    <s v="Construction"/>
    <x v="0"/>
    <x v="0"/>
    <s v="ASTM A615"/>
    <n v="21.89"/>
    <n v="21"/>
    <n v="8.1"/>
    <n v="215.91"/>
    <n v="638.98"/>
    <n v="137962.17000000001"/>
    <n v="3.7699999999999997E-2"/>
    <n v="132761"/>
    <n v="20765.13"/>
    <n v="0.2263"/>
    <n v="30043.81"/>
    <s v="LC at sight"/>
    <s v="K. Wilson"/>
    <s v="Synthetic sample row shaped by public steel product sales and shipment references"/>
  </r>
  <r>
    <s v="STL-2024-01026"/>
    <x v="261"/>
    <n v="2024"/>
    <x v="8"/>
    <s v="Q1"/>
    <x v="1"/>
    <s v="Germany"/>
    <s v="Export distributor"/>
    <x v="2"/>
    <s v="Shipbuilding"/>
    <x v="1"/>
    <x v="1"/>
    <s v="ASTM A516"/>
    <n v="26.35"/>
    <n v="2912"/>
    <n v="7.5"/>
    <n v="197.05"/>
    <n v="1048.43"/>
    <n v="206593.13"/>
    <n v="4.0899999999999999E-2"/>
    <n v="198143.47"/>
    <n v="13076.99"/>
    <n v="0.2271"/>
    <n v="44998.38"/>
    <s v="Advance"/>
    <s v="N. Sharma"/>
    <s v="Synthetic sample row shaped by public steel product sales and shipment references"/>
  </r>
  <r>
    <s v="STL-2024-01033"/>
    <x v="205"/>
    <n v="2024"/>
    <x v="8"/>
    <s v="Q1"/>
    <x v="0"/>
    <s v="Taiwan"/>
    <s v="Export direct"/>
    <x v="4"/>
    <s v="Energy"/>
    <x v="3"/>
    <x v="3"/>
    <s v="JIS G3444"/>
    <n v="3.29"/>
    <n v="196"/>
    <n v="7.8"/>
    <n v="141.71"/>
    <n v="1207.67"/>
    <n v="171138.92"/>
    <n v="2.6100000000000002E-2"/>
    <n v="166672.19"/>
    <n v="10426.68"/>
    <n v="0.23630000000000001"/>
    <n v="39384.639999999999"/>
    <s v="Net 15"/>
    <s v="N. Sharma"/>
    <s v="Synthetic sample row shaped by public steel product sales and shipment references"/>
  </r>
  <r>
    <s v="STL-2025-01037"/>
    <x v="262"/>
    <n v="2025"/>
    <x v="5"/>
    <s v="Q4"/>
    <x v="2"/>
    <s v="Saudi Arabia"/>
    <s v="Domestic direct"/>
    <x v="4"/>
    <s v="Energy"/>
    <x v="2"/>
    <x v="2"/>
    <s v="API P110"/>
    <n v="5.83"/>
    <n v="87"/>
    <n v="5.5"/>
    <n v="52.03"/>
    <n v="1770.05"/>
    <n v="92095.7"/>
    <n v="5.3199999999999997E-2"/>
    <n v="87196.21"/>
    <n v="2027.58"/>
    <n v="0.20949999999999999"/>
    <n v="18267.61"/>
    <s v="LC at sight"/>
    <s v="K. Wilson"/>
    <s v="Synthetic sample row shaped by public steel product sales and shipment references"/>
  </r>
  <r>
    <s v="STL-2025-01038"/>
    <x v="263"/>
    <n v="2025"/>
    <x v="2"/>
    <s v="Q1"/>
    <x v="1"/>
    <s v="Italy"/>
    <s v="Domestic distributor"/>
    <x v="7"/>
    <s v="Construction"/>
    <x v="3"/>
    <x v="3"/>
    <s v="EN 10219"/>
    <n v="14.61"/>
    <n v="146"/>
    <n v="11.9"/>
    <n v="164.23"/>
    <n v="1190.3699999999999"/>
    <n v="195494.47"/>
    <n v="1.8100000000000002E-2"/>
    <n v="191956.02"/>
    <n v="4567.5"/>
    <n v="0.23230000000000001"/>
    <n v="44591.38"/>
    <s v="Net 30"/>
    <s v="A. Mehta"/>
    <s v="Synthetic sample row shaped by public steel product sales and shipment references"/>
  </r>
  <r>
    <s v="STL-2024-01039"/>
    <x v="264"/>
    <n v="2024"/>
    <x v="0"/>
    <s v="Q3"/>
    <x v="0"/>
    <s v="Taiwan"/>
    <s v="Export distributor"/>
    <x v="5"/>
    <s v="Infrastructure"/>
    <x v="0"/>
    <x v="0"/>
    <s v="B500B"/>
    <n v="13.57"/>
    <n v="18"/>
    <n v="11.7"/>
    <n v="550.46"/>
    <n v="704.33"/>
    <n v="387705.49"/>
    <n v="3.85E-2"/>
    <n v="372778.83"/>
    <n v="31538.28"/>
    <n v="0.25190000000000001"/>
    <n v="93902.99"/>
    <s v="Net 15"/>
    <s v="K. Wilson"/>
    <s v="Synthetic sample row shaped by public steel product sales and shipment references"/>
  </r>
  <r>
    <s v="STL-2024-01040"/>
    <x v="265"/>
    <n v="2024"/>
    <x v="6"/>
    <s v="Q3"/>
    <x v="1"/>
    <s v="Germany"/>
    <s v="Domestic distributor"/>
    <x v="6"/>
    <s v="Energy"/>
    <x v="2"/>
    <x v="2"/>
    <s v="API L80"/>
    <n v="17.16"/>
    <n v="82"/>
    <n v="3.9"/>
    <n v="34.19"/>
    <n v="1588.41"/>
    <n v="54307.74"/>
    <n v="3.7499999999999999E-2"/>
    <n v="52271.199999999997"/>
    <n v="1137.1400000000001"/>
    <n v="0.28599999999999998"/>
    <n v="14949.56"/>
    <s v="Net 15"/>
    <s v="A. Mehta"/>
    <s v="Synthetic sample row shaped by public steel product sales and shipment references"/>
  </r>
  <r>
    <s v="STL-2025-01041"/>
    <x v="266"/>
    <n v="2025"/>
    <x v="5"/>
    <s v="Q4"/>
    <x v="4"/>
    <s v="Indonesia"/>
    <s v="Domestic distributor"/>
    <x v="7"/>
    <s v="Shipbuilding"/>
    <x v="1"/>
    <x v="1"/>
    <s v="ASTM A572"/>
    <n v="35.15"/>
    <n v="2406"/>
    <n v="10.9"/>
    <n v="114.2"/>
    <n v="1098.94"/>
    <n v="125498.95"/>
    <n v="3.15E-2"/>
    <n v="121545.73"/>
    <n v="4708.45"/>
    <n v="0.1333"/>
    <n v="16202.05"/>
    <s v="Net 45"/>
    <s v="F. Haddad"/>
    <s v="Synthetic sample row shaped by public steel product sales and shipment references"/>
  </r>
  <r>
    <s v="STL-2025-01042"/>
    <x v="197"/>
    <n v="2025"/>
    <x v="2"/>
    <s v="Q1"/>
    <x v="5"/>
    <s v="Bangladesh"/>
    <s v="Export distributor"/>
    <x v="2"/>
    <s v="Construction"/>
    <x v="0"/>
    <x v="0"/>
    <s v="IS 1786"/>
    <n v="27.17"/>
    <n v="34"/>
    <n v="8"/>
    <n v="57.58"/>
    <n v="745.47"/>
    <n v="42924.160000000003"/>
    <n v="2.7699999999999999E-2"/>
    <n v="41735.160000000003"/>
    <n v="5465.64"/>
    <n v="0.1381"/>
    <n v="5763.63"/>
    <s v="Advance"/>
    <s v="N. Sharma"/>
    <s v="Synthetic sample row shaped by public steel product sales and shipment references"/>
  </r>
  <r>
    <s v="STL-2025-01043"/>
    <x v="130"/>
    <n v="2025"/>
    <x v="8"/>
    <s v="Q1"/>
    <x v="3"/>
    <s v="Mexico"/>
    <s v="Domestic direct"/>
    <x v="4"/>
    <s v="Energy"/>
    <x v="3"/>
    <x v="3"/>
    <s v="EN 10219"/>
    <n v="3.4"/>
    <n v="324"/>
    <n v="11.3"/>
    <n v="18.87"/>
    <n v="1252.69"/>
    <n v="23638.26"/>
    <n v="1.5599999999999999E-2"/>
    <n v="23269.5"/>
    <n v="518.13"/>
    <n v="0.2099"/>
    <n v="4884.2700000000004"/>
    <s v="Net 30"/>
    <s v="K. Wilson"/>
    <s v="Synthetic sample row shaped by public steel product sales and shipment references"/>
  </r>
  <r>
    <s v="STL-2024-01044"/>
    <x v="267"/>
    <n v="2024"/>
    <x v="2"/>
    <s v="Q1"/>
    <x v="3"/>
    <s v="Mexico"/>
    <s v="Export direct"/>
    <x v="0"/>
    <s v="Shipbuilding"/>
    <x v="1"/>
    <x v="1"/>
    <s v="EN S355"/>
    <n v="26.1"/>
    <n v="2366"/>
    <n v="8.9"/>
    <n v="47.36"/>
    <n v="1103.3900000000001"/>
    <n v="52256.55"/>
    <n v="5.96E-2"/>
    <n v="49142.06"/>
    <n v="3078.86"/>
    <n v="0.23300000000000001"/>
    <n v="11450.1"/>
    <s v="Advance"/>
    <s v="F. Haddad"/>
    <s v="Synthetic sample row shaped by public steel product sales and shipment references"/>
  </r>
  <r>
    <s v="STL-2025-01046"/>
    <x v="268"/>
    <n v="2025"/>
    <x v="3"/>
    <s v="Q2"/>
    <x v="1"/>
    <s v="Germany"/>
    <s v="Export direct"/>
    <x v="2"/>
    <s v="Construction"/>
    <x v="0"/>
    <x v="0"/>
    <s v="BS 4449"/>
    <n v="13.19"/>
    <n v="23"/>
    <n v="6.9"/>
    <n v="433.57"/>
    <n v="779.46"/>
    <n v="337950.47"/>
    <n v="6.9900000000000004E-2"/>
    <n v="314327.73"/>
    <n v="31245.07"/>
    <n v="0.16619999999999999"/>
    <n v="52241.27"/>
    <s v="LC at sight"/>
    <s v="A. Mehta"/>
    <s v="Synthetic sample row shaped by public steel product sales and shipment references"/>
  </r>
  <r>
    <s v="STL-2024-01049"/>
    <x v="269"/>
    <n v="2024"/>
    <x v="8"/>
    <s v="Q1"/>
    <x v="3"/>
    <s v="Mexico"/>
    <s v="Export distributor"/>
    <x v="1"/>
    <s v="Energy"/>
    <x v="3"/>
    <x v="3"/>
    <s v="ASTM A53"/>
    <n v="6.02"/>
    <n v="355"/>
    <n v="7.1"/>
    <n v="17.52"/>
    <n v="1232.03"/>
    <n v="21585.17"/>
    <n v="2.81E-2"/>
    <n v="20978.63"/>
    <n v="1492.07"/>
    <n v="0.21629999999999999"/>
    <n v="4537.68"/>
    <s v="LC at sight"/>
    <s v="N. Sharma"/>
    <s v="Synthetic sample row shaped by public steel product sales and shipment references"/>
  </r>
  <r>
    <s v="STL-2024-01054"/>
    <x v="209"/>
    <n v="2024"/>
    <x v="10"/>
    <s v="Q3"/>
    <x v="0"/>
    <s v="Taiwan"/>
    <s v="Domestic distributor"/>
    <x v="2"/>
    <s v="Construction"/>
    <x v="0"/>
    <x v="0"/>
    <s v="BS 4449"/>
    <n v="37.36"/>
    <n v="30"/>
    <n v="9.6"/>
    <n v="248.34"/>
    <n v="702.56"/>
    <n v="174473.75"/>
    <n v="4.8500000000000001E-2"/>
    <n v="166011.76999999999"/>
    <n v="9463.9599999999991"/>
    <n v="0.15609999999999999"/>
    <n v="25914.44"/>
    <s v="Net 15"/>
    <s v="M. Alvarez"/>
    <s v="Synthetic sample row shaped by public steel product sales and shipment references"/>
  </r>
  <r>
    <s v="STL-2025-01064"/>
    <x v="270"/>
    <n v="2025"/>
    <x v="1"/>
    <s v="Q2"/>
    <x v="1"/>
    <s v="Germany"/>
    <s v="Export direct"/>
    <x v="6"/>
    <s v="Infrastructure"/>
    <x v="3"/>
    <x v="3"/>
    <s v="EN 10219"/>
    <n v="14.83"/>
    <n v="573"/>
    <n v="6.4"/>
    <n v="156.93"/>
    <n v="1308.8599999999999"/>
    <n v="205399.4"/>
    <n v="2.8000000000000001E-2"/>
    <n v="199648.22"/>
    <n v="12587.96"/>
    <n v="0.2296"/>
    <n v="45839.23"/>
    <s v="Net 15"/>
    <s v="N. Sharma"/>
    <s v="Synthetic sample row shaped by public steel product sales and shipment references"/>
  </r>
  <r>
    <s v="STL-2024-01067"/>
    <x v="172"/>
    <n v="2024"/>
    <x v="2"/>
    <s v="Q1"/>
    <x v="5"/>
    <s v="Bangladesh"/>
    <s v="Domestic direct"/>
    <x v="2"/>
    <s v="Infrastructure"/>
    <x v="3"/>
    <x v="3"/>
    <s v="JIS G3444"/>
    <n v="14.51"/>
    <n v="102"/>
    <n v="7.2"/>
    <n v="140.66999999999999"/>
    <n v="1201.31"/>
    <n v="168988.28"/>
    <n v="2.58E-2"/>
    <n v="164628.38"/>
    <n v="3269.64"/>
    <n v="0.25769999999999998"/>
    <n v="42424.73"/>
    <s v="Net 45"/>
    <s v="N. Sharma"/>
    <s v="Synthetic sample row shaped by public steel product sales and shipment references"/>
  </r>
  <r>
    <s v="STL-2024-01070"/>
    <x v="240"/>
    <n v="2024"/>
    <x v="9"/>
    <s v="Q1"/>
    <x v="3"/>
    <s v="United States"/>
    <s v="Export direct"/>
    <x v="4"/>
    <s v="Construction"/>
    <x v="3"/>
    <x v="3"/>
    <s v="EN 10219"/>
    <n v="9.4"/>
    <n v="71"/>
    <n v="10.7"/>
    <n v="261.23"/>
    <n v="1165.58"/>
    <n v="304484.46000000002"/>
    <n v="7.4399999999999994E-2"/>
    <n v="281830.82"/>
    <n v="22185.9"/>
    <n v="0.21310000000000001"/>
    <n v="60058.15"/>
    <s v="LC at sight"/>
    <s v="M. Alvarez"/>
    <s v="Synthetic sample row shaped by public steel product sales and shipment references"/>
  </r>
  <r>
    <s v="STL-2025-01071"/>
    <x v="194"/>
    <n v="2025"/>
    <x v="4"/>
    <s v="Q2"/>
    <x v="0"/>
    <s v="Taiwan"/>
    <s v="Domestic direct"/>
    <x v="7"/>
    <s v="Energy"/>
    <x v="2"/>
    <x v="2"/>
    <s v="API N80"/>
    <n v="12.17"/>
    <n v="134"/>
    <n v="9.5"/>
    <n v="59.79"/>
    <n v="1644.81"/>
    <n v="98343.19"/>
    <n v="2.9100000000000001E-2"/>
    <n v="95481.4"/>
    <n v="1917.21"/>
    <n v="0.21809999999999999"/>
    <n v="20824.490000000002"/>
    <s v="Advance"/>
    <s v="F. Haddad"/>
    <s v="Synthetic sample row shaped by public steel product sales and shipment references"/>
  </r>
  <r>
    <s v="STL-2024-01074"/>
    <x v="271"/>
    <n v="2024"/>
    <x v="11"/>
    <s v="Q4"/>
    <x v="4"/>
    <s v="Malaysia"/>
    <s v="Domestic distributor"/>
    <x v="6"/>
    <s v="Energy"/>
    <x v="3"/>
    <x v="3"/>
    <s v="JIS G3444"/>
    <n v="5.54"/>
    <n v="215"/>
    <n v="9.1999999999999993"/>
    <n v="132.88"/>
    <n v="1093.6400000000001"/>
    <n v="145322.88"/>
    <n v="4.1099999999999998E-2"/>
    <n v="139350.10999999999"/>
    <n v="4358.5"/>
    <n v="0.1216"/>
    <n v="16944.97"/>
    <s v="LC at sight"/>
    <s v="K. Wilson"/>
    <s v="Synthetic sample row shaped by public steel product sales and shipment references"/>
  </r>
  <r>
    <s v="STL-2025-01075"/>
    <x v="272"/>
    <n v="2025"/>
    <x v="6"/>
    <s v="Q3"/>
    <x v="6"/>
    <s v="Egypt"/>
    <s v="Export distributor"/>
    <x v="6"/>
    <s v="Infrastructure"/>
    <x v="3"/>
    <x v="3"/>
    <s v="API 5L"/>
    <n v="13.94"/>
    <n v="82"/>
    <n v="9.6"/>
    <n v="124.79"/>
    <n v="1185.6099999999999"/>
    <n v="147952.26999999999"/>
    <n v="0.04"/>
    <n v="142034.18"/>
    <n v="11531.82"/>
    <n v="0.1138"/>
    <n v="16163.49"/>
    <s v="Advance"/>
    <s v="A. Mehta"/>
    <s v="Synthetic sample row shaped by public steel product sales and shipment references"/>
  </r>
  <r>
    <s v="STL-2025-01078"/>
    <x v="273"/>
    <n v="2025"/>
    <x v="4"/>
    <s v="Q2"/>
    <x v="3"/>
    <s v="United States"/>
    <s v="Domestic distributor"/>
    <x v="6"/>
    <s v="Energy"/>
    <x v="1"/>
    <x v="1"/>
    <s v="EN S355"/>
    <n v="26.51"/>
    <n v="2212"/>
    <n v="3.4"/>
    <n v="131.88999999999999"/>
    <n v="1227.5899999999999"/>
    <n v="161906.85"/>
    <n v="1.35E-2"/>
    <n v="159721.10999999999"/>
    <n v="2648.28"/>
    <n v="0.2026"/>
    <n v="32359.5"/>
    <s v="Net 45"/>
    <s v="D. Chen"/>
    <s v="Synthetic sample row shaped by public steel product sales and shipment references"/>
  </r>
  <r>
    <s v="STL-2025-01082"/>
    <x v="272"/>
    <n v="2025"/>
    <x v="6"/>
    <s v="Q3"/>
    <x v="4"/>
    <s v="Thailand"/>
    <s v="Export distributor"/>
    <x v="4"/>
    <s v="Infrastructure"/>
    <x v="0"/>
    <x v="0"/>
    <s v="BS 4449"/>
    <n v="24.13"/>
    <n v="33"/>
    <n v="4.5999999999999996"/>
    <n v="594.45000000000005"/>
    <n v="692.95"/>
    <n v="411924.13"/>
    <n v="5.6800000000000003E-2"/>
    <n v="388526.84"/>
    <n v="31270.26"/>
    <n v="0.246"/>
    <n v="95577.600000000006"/>
    <s v="Net 30"/>
    <s v="F. Haddad"/>
    <s v="Synthetic sample row shaped by public steel product sales and shipment references"/>
  </r>
  <r>
    <s v="STL-2025-01084"/>
    <x v="192"/>
    <n v="2025"/>
    <x v="11"/>
    <s v="Q4"/>
    <x v="3"/>
    <s v="United States"/>
    <s v="Export distributor"/>
    <x v="5"/>
    <s v="Infrastructure"/>
    <x v="3"/>
    <x v="3"/>
    <s v="JIS G3444"/>
    <n v="8.5500000000000007"/>
    <n v="264"/>
    <n v="9"/>
    <n v="204.31"/>
    <n v="1352.74"/>
    <n v="276378.31"/>
    <n v="2.0299999999999999E-2"/>
    <n v="270767.83"/>
    <n v="14188.17"/>
    <n v="0.1739"/>
    <n v="47086.53"/>
    <s v="Net 15"/>
    <s v="A. Mehta"/>
    <s v="Synthetic sample row shaped by public steel product sales and shipment references"/>
  </r>
  <r>
    <s v="STL-2025-01087"/>
    <x v="274"/>
    <n v="2025"/>
    <x v="10"/>
    <s v="Q3"/>
    <x v="1"/>
    <s v="Spain"/>
    <s v="Export direct"/>
    <x v="7"/>
    <s v="Infrastructure"/>
    <x v="0"/>
    <x v="0"/>
    <s v="B500B"/>
    <n v="17.66"/>
    <n v="27"/>
    <n v="4.8"/>
    <n v="360.31"/>
    <n v="754.75"/>
    <n v="271943.96999999997"/>
    <n v="6.6900000000000001E-2"/>
    <n v="253750.92"/>
    <n v="24175.279999999999"/>
    <n v="0.13339999999999999"/>
    <n v="33850.370000000003"/>
    <s v="Net 15"/>
    <s v="F. Haddad"/>
    <s v="Synthetic sample row shaped by public steel product sales and shipment references"/>
  </r>
  <r>
    <s v="STL-2024-01092"/>
    <x v="275"/>
    <n v="2024"/>
    <x v="4"/>
    <s v="Q2"/>
    <x v="0"/>
    <s v="South Korea"/>
    <s v="Domestic distributor"/>
    <x v="0"/>
    <s v="Energy"/>
    <x v="3"/>
    <x v="3"/>
    <s v="ASTM A53"/>
    <n v="5.13"/>
    <n v="423"/>
    <n v="11.8"/>
    <n v="129.80000000000001"/>
    <n v="1161.6300000000001"/>
    <n v="150779.57"/>
    <n v="3.3399999999999999E-2"/>
    <n v="145743.53"/>
    <n v="2529.5100000000002"/>
    <n v="0.22739999999999999"/>
    <n v="33142.080000000002"/>
    <s v="Net 15"/>
    <s v="A. Mehta"/>
    <s v="Synthetic sample row shaped by public steel product sales and shipment references"/>
  </r>
  <r>
    <s v="STL-2024-01093"/>
    <x v="247"/>
    <n v="2024"/>
    <x v="4"/>
    <s v="Q2"/>
    <x v="4"/>
    <s v="Vietnam"/>
    <s v="Domestic distributor"/>
    <x v="0"/>
    <s v="Energy"/>
    <x v="2"/>
    <x v="2"/>
    <s v="API N80"/>
    <n v="10.96"/>
    <n v="337"/>
    <n v="8.5"/>
    <n v="60.19"/>
    <n v="1542.17"/>
    <n v="92823.21"/>
    <n v="2.6499999999999999E-2"/>
    <n v="90363.39"/>
    <n v="1935.41"/>
    <n v="0.20499999999999999"/>
    <n v="18524.490000000002"/>
    <s v="Net 15"/>
    <s v="D. Chen"/>
    <s v="Synthetic sample row shaped by public steel product sales and shipment references"/>
  </r>
  <r>
    <s v="STL-2025-01103"/>
    <x v="66"/>
    <n v="2025"/>
    <x v="3"/>
    <s v="Q2"/>
    <x v="3"/>
    <s v="Mexico"/>
    <s v="Domestic distributor"/>
    <x v="4"/>
    <s v="Construction"/>
    <x v="3"/>
    <x v="3"/>
    <s v="API 5L"/>
    <n v="2.81"/>
    <n v="90"/>
    <n v="7.8"/>
    <n v="151.5"/>
    <n v="1231.43"/>
    <n v="186561.65"/>
    <n v="1.9E-2"/>
    <n v="183016.98"/>
    <n v="3013.48"/>
    <n v="0.20430000000000001"/>
    <n v="37390.370000000003"/>
    <s v="Net 30"/>
    <s v="R. Iyer"/>
    <s v="Synthetic sample row shaped by public steel product sales and shipment references"/>
  </r>
  <r>
    <s v="STL-2024-01104"/>
    <x v="276"/>
    <n v="2024"/>
    <x v="2"/>
    <s v="Q1"/>
    <x v="6"/>
    <s v="South Africa"/>
    <s v="Domestic direct"/>
    <x v="4"/>
    <s v="Energy"/>
    <x v="3"/>
    <x v="3"/>
    <s v="API 5L"/>
    <n v="2.04"/>
    <n v="578"/>
    <n v="3.2"/>
    <n v="152.06"/>
    <n v="1209.8599999999999"/>
    <n v="183971.31"/>
    <n v="4.5600000000000002E-2"/>
    <n v="175582.22"/>
    <n v="5096.33"/>
    <n v="0.2077"/>
    <n v="36468.43"/>
    <s v="Advance"/>
    <s v="K. Wilson"/>
    <s v="Synthetic sample row shaped by public steel product sales and shipment references"/>
  </r>
  <r>
    <s v="STL-2024-01108"/>
    <x v="277"/>
    <n v="2024"/>
    <x v="9"/>
    <s v="Q1"/>
    <x v="4"/>
    <s v="Malaysia"/>
    <s v="Domestic distributor"/>
    <x v="6"/>
    <s v="Infrastructure"/>
    <x v="3"/>
    <x v="3"/>
    <s v="EN 10219"/>
    <n v="9.86"/>
    <n v="484"/>
    <n v="4.2"/>
    <n v="48.81"/>
    <n v="1037.0999999999999"/>
    <n v="50620.85"/>
    <n v="2.3099999999999999E-2"/>
    <n v="49451.51"/>
    <n v="1529.2"/>
    <n v="0.2162"/>
    <n v="10691.42"/>
    <s v="Advance"/>
    <s v="F. Haddad"/>
    <s v="Synthetic sample row shaped by public steel product sales and shipment references"/>
  </r>
  <r>
    <s v="STL-2024-01117"/>
    <x v="278"/>
    <n v="2024"/>
    <x v="8"/>
    <s v="Q1"/>
    <x v="2"/>
    <s v="Saudi Arabia"/>
    <s v="Domestic distributor"/>
    <x v="4"/>
    <s v="Construction"/>
    <x v="0"/>
    <x v="0"/>
    <s v="ASTM A615"/>
    <n v="23.6"/>
    <n v="28"/>
    <n v="8.6"/>
    <n v="486.34"/>
    <n v="757.99"/>
    <n v="368640.86"/>
    <n v="3.9E-2"/>
    <n v="354263.87"/>
    <n v="11887.72"/>
    <n v="0.25440000000000002"/>
    <n v="90124.73"/>
    <s v="Net 30"/>
    <s v="N. Sharma"/>
    <s v="Synthetic sample row shaped by public steel product sales and shipment references"/>
  </r>
  <r>
    <s v="STL-2024-01119"/>
    <x v="279"/>
    <n v="2024"/>
    <x v="3"/>
    <s v="Q2"/>
    <x v="4"/>
    <s v="Malaysia"/>
    <s v="Domestic distributor"/>
    <x v="7"/>
    <s v="Construction"/>
    <x v="0"/>
    <x v="0"/>
    <s v="B500B"/>
    <n v="38.409999999999997"/>
    <n v="28"/>
    <n v="5"/>
    <n v="206.4"/>
    <n v="723.18"/>
    <n v="149264.35"/>
    <n v="1.8200000000000001E-2"/>
    <n v="146547.74"/>
    <n v="7430.98"/>
    <n v="0.21740000000000001"/>
    <n v="31859.48"/>
    <s v="Net 45"/>
    <s v="A. Mehta"/>
    <s v="Synthetic sample row shaped by public steel product sales and shipment references"/>
  </r>
  <r>
    <s v="STL-2025-01120"/>
    <x v="280"/>
    <n v="2025"/>
    <x v="4"/>
    <s v="Q2"/>
    <x v="0"/>
    <s v="Taiwan"/>
    <s v="Domestic distributor"/>
    <x v="4"/>
    <s v="Construction"/>
    <x v="0"/>
    <x v="0"/>
    <s v="IS 1786"/>
    <n v="31.56"/>
    <n v="39"/>
    <n v="5.0999999999999996"/>
    <n v="297.95999999999998"/>
    <n v="781.38"/>
    <n v="232819.98"/>
    <n v="5.7700000000000001E-2"/>
    <n v="219386.27"/>
    <n v="5374.22"/>
    <n v="0.2366"/>
    <n v="51906.79"/>
    <s v="Net 30"/>
    <s v="K. Wilson"/>
    <s v="Synthetic sample row shaped by public steel product sales and shipment references"/>
  </r>
  <r>
    <s v="STL-2024-01121"/>
    <x v="137"/>
    <n v="2024"/>
    <x v="2"/>
    <s v="Q1"/>
    <x v="3"/>
    <s v="United States"/>
    <s v="Domestic direct"/>
    <x v="6"/>
    <s v="Energy"/>
    <x v="3"/>
    <x v="3"/>
    <s v="ASTM A53"/>
    <n v="6.59"/>
    <n v="492"/>
    <n v="5.4"/>
    <n v="9.68"/>
    <n v="1200.3499999999999"/>
    <n v="11619.39"/>
    <n v="1.43E-2"/>
    <n v="11453.23"/>
    <n v="296.20999999999998"/>
    <n v="0.1416"/>
    <n v="1621.78"/>
    <s v="Net 30"/>
    <s v="F. Haddad"/>
    <s v="Synthetic sample row shaped by public steel product sales and shipment references"/>
  </r>
  <r>
    <s v="STL-2025-01127"/>
    <x v="281"/>
    <n v="2025"/>
    <x v="1"/>
    <s v="Q2"/>
    <x v="6"/>
    <s v="Egypt"/>
    <s v="Export direct"/>
    <x v="3"/>
    <s v="Construction"/>
    <x v="3"/>
    <x v="3"/>
    <s v="EN 10219"/>
    <n v="5.39"/>
    <n v="239"/>
    <n v="4.7"/>
    <n v="123.3"/>
    <n v="1115.57"/>
    <n v="137549.78"/>
    <n v="4.2799999999999998E-2"/>
    <n v="131662.65"/>
    <n v="7052.43"/>
    <n v="0.22989999999999999"/>
    <n v="30269.24"/>
    <s v="Net 30"/>
    <s v="M. Alvarez"/>
    <s v="Synthetic sample row shaped by public steel product sales and shipment references"/>
  </r>
  <r>
    <s v="STL-2025-01128"/>
    <x v="282"/>
    <n v="2025"/>
    <x v="11"/>
    <s v="Q4"/>
    <x v="2"/>
    <s v="Saudi Arabia"/>
    <s v="Export distributor"/>
    <x v="1"/>
    <s v="Shipbuilding"/>
    <x v="1"/>
    <x v="1"/>
    <s v="EN S355"/>
    <n v="36.770000000000003"/>
    <n v="1438"/>
    <n v="11.3"/>
    <n v="200.68"/>
    <n v="1206.6500000000001"/>
    <n v="242150.52"/>
    <n v="6.2700000000000006E-2"/>
    <n v="226967.67999999999"/>
    <n v="11106.86"/>
    <n v="0.1537"/>
    <n v="34884.93"/>
    <s v="LC at sight"/>
    <s v="S. Kapoor"/>
    <s v="Synthetic sample row shaped by public steel product sales and shipment references"/>
  </r>
  <r>
    <s v="STL-2024-01133"/>
    <x v="283"/>
    <n v="2024"/>
    <x v="3"/>
    <s v="Q2"/>
    <x v="2"/>
    <s v="Qatar"/>
    <s v="Domestic direct"/>
    <x v="1"/>
    <s v="Infrastructure"/>
    <x v="3"/>
    <x v="3"/>
    <s v="JIS G3444"/>
    <n v="9.02"/>
    <n v="434"/>
    <n v="10.3"/>
    <n v="69.989999999999995"/>
    <n v="1211.51"/>
    <n v="84793.58"/>
    <n v="5.4800000000000001E-2"/>
    <n v="80146.89"/>
    <n v="2877.82"/>
    <n v="0.21640000000000001"/>
    <n v="17343.79"/>
    <s v="Net 45"/>
    <s v="S. Kapoor"/>
    <s v="Synthetic sample row shaped by public steel product sales and shipment references"/>
  </r>
  <r>
    <s v="STL-2024-01137"/>
    <x v="265"/>
    <n v="2024"/>
    <x v="6"/>
    <s v="Q3"/>
    <x v="0"/>
    <s v="Taiwan"/>
    <s v="Export direct"/>
    <x v="4"/>
    <s v="Industrial machinery"/>
    <x v="1"/>
    <x v="1"/>
    <s v="JIS SM490"/>
    <n v="46.68"/>
    <n v="2183"/>
    <n v="3.8"/>
    <n v="110.93"/>
    <n v="1164.26"/>
    <n v="129151.36"/>
    <n v="5.8900000000000001E-2"/>
    <n v="121544.34"/>
    <n v="9635.4599999999991"/>
    <n v="0.15310000000000001"/>
    <n v="18608.439999999999"/>
    <s v="Net 30"/>
    <s v="F. Haddad"/>
    <s v="Synthetic sample row shaped by public steel product sales and shipment references"/>
  </r>
  <r>
    <s v="STL-2025-01143"/>
    <x v="284"/>
    <n v="2025"/>
    <x v="0"/>
    <s v="Q3"/>
    <x v="6"/>
    <s v="South Africa"/>
    <s v="Export distributor"/>
    <x v="7"/>
    <s v="Energy"/>
    <x v="2"/>
    <x v="2"/>
    <s v="API P110"/>
    <n v="15.19"/>
    <n v="95"/>
    <n v="7.4"/>
    <n v="194.42"/>
    <n v="1517.09"/>
    <n v="294952.64"/>
    <n v="5.5300000000000002E-2"/>
    <n v="278641.76"/>
    <n v="12494.35"/>
    <n v="0.16739999999999999"/>
    <n v="46644.63"/>
    <s v="Advance"/>
    <s v="A. Mehta"/>
    <s v="Synthetic sample row shaped by public steel product sales and shipment references"/>
  </r>
  <r>
    <s v="STL-2025-01145"/>
    <x v="285"/>
    <n v="2025"/>
    <x v="6"/>
    <s v="Q3"/>
    <x v="1"/>
    <s v="Poland"/>
    <s v="Export direct"/>
    <x v="7"/>
    <s v="Shipbuilding"/>
    <x v="1"/>
    <x v="1"/>
    <s v="ASTM A516"/>
    <n v="68.91"/>
    <n v="2022"/>
    <n v="10.4"/>
    <n v="77.89"/>
    <n v="1218.17"/>
    <n v="94883.26"/>
    <n v="4.9099999999999998E-2"/>
    <n v="90224.49"/>
    <n v="5138.66"/>
    <n v="0.2392"/>
    <n v="21581.7"/>
    <s v="Net 15"/>
    <s v="N. Sharma"/>
    <s v="Synthetic sample row shaped by public steel product sales and shipment references"/>
  </r>
  <r>
    <s v="STL-2024-01146"/>
    <x v="286"/>
    <n v="2024"/>
    <x v="2"/>
    <s v="Q1"/>
    <x v="5"/>
    <s v="India"/>
    <s v="Domestic direct"/>
    <x v="4"/>
    <s v="Energy"/>
    <x v="2"/>
    <x v="2"/>
    <s v="API L80"/>
    <n v="10.029999999999999"/>
    <n v="65"/>
    <n v="6.8"/>
    <n v="130.4"/>
    <n v="1572.47"/>
    <n v="205050.09"/>
    <n v="3.9300000000000002E-2"/>
    <n v="196991.62"/>
    <n v="5253.97"/>
    <n v="0.2802"/>
    <n v="55197.05"/>
    <s v="Net 30"/>
    <s v="N. Sharma"/>
    <s v="Synthetic sample row shaped by public steel product sales and shipment references"/>
  </r>
  <r>
    <s v="STL-2025-01147"/>
    <x v="234"/>
    <n v="2025"/>
    <x v="9"/>
    <s v="Q1"/>
    <x v="3"/>
    <s v="Canada"/>
    <s v="Export distributor"/>
    <x v="0"/>
    <s v="Energy"/>
    <x v="2"/>
    <x v="2"/>
    <s v="API J55"/>
    <n v="8.57"/>
    <n v="117"/>
    <n v="10.3"/>
    <n v="111.17"/>
    <n v="1625.91"/>
    <n v="180752.41"/>
    <n v="2.7699999999999999E-2"/>
    <n v="175745.57"/>
    <n v="5936.03"/>
    <n v="0.22969999999999999"/>
    <n v="40368.76"/>
    <s v="Net 45"/>
    <s v="S. Kapoor"/>
    <s v="Synthetic sample row shaped by public steel product sales and shipment references"/>
  </r>
  <r>
    <s v="STL-2025-01152"/>
    <x v="155"/>
    <n v="2025"/>
    <x v="1"/>
    <s v="Q2"/>
    <x v="6"/>
    <s v="Egypt"/>
    <s v="Domestic distributor"/>
    <x v="1"/>
    <s v="Construction"/>
    <x v="0"/>
    <x v="0"/>
    <s v="BS 4449"/>
    <n v="16.440000000000001"/>
    <n v="29"/>
    <n v="10.7"/>
    <n v="28.12"/>
    <n v="796.84"/>
    <n v="22407.14"/>
    <n v="4.2500000000000003E-2"/>
    <n v="21454.84"/>
    <n v="1180.1400000000001"/>
    <n v="0.18509999999999999"/>
    <n v="3971.29"/>
    <s v="LC at sight"/>
    <s v="F. Haddad"/>
    <s v="Synthetic sample row shaped by public steel product sales and shipment references"/>
  </r>
  <r>
    <s v="STL-2025-01153"/>
    <x v="287"/>
    <n v="2025"/>
    <x v="4"/>
    <s v="Q2"/>
    <x v="2"/>
    <s v="Saudi Arabia"/>
    <s v="Export distributor"/>
    <x v="5"/>
    <s v="Construction"/>
    <x v="3"/>
    <x v="3"/>
    <s v="JIS G3444"/>
    <n v="12.66"/>
    <n v="311"/>
    <n v="8.9"/>
    <n v="96.14"/>
    <n v="1312.78"/>
    <n v="126210.67"/>
    <n v="5.7099999999999998E-2"/>
    <n v="119004.04"/>
    <n v="5808.07"/>
    <n v="0.2346"/>
    <n v="27918.35"/>
    <s v="LC at sight"/>
    <s v="S. Kapoor"/>
    <s v="Synthetic sample row shaped by public steel product sales and shipment references"/>
  </r>
  <r>
    <s v="STL-2025-01155"/>
    <x v="42"/>
    <n v="2025"/>
    <x v="10"/>
    <s v="Q3"/>
    <x v="2"/>
    <s v="Qatar"/>
    <s v="Export direct"/>
    <x v="0"/>
    <s v="Energy"/>
    <x v="2"/>
    <x v="2"/>
    <s v="API N80"/>
    <n v="12.93"/>
    <n v="105"/>
    <n v="7"/>
    <n v="133.93"/>
    <n v="1630.29"/>
    <n v="218344.74"/>
    <n v="2.7900000000000001E-2"/>
    <n v="212252.92"/>
    <n v="11435.23"/>
    <n v="0.27289999999999998"/>
    <n v="57923.82"/>
    <s v="Net 45"/>
    <s v="A. Mehta"/>
    <s v="Synthetic sample row shaped by public steel product sales and shipment references"/>
  </r>
  <r>
    <s v="STL-2025-01158"/>
    <x v="288"/>
    <n v="2025"/>
    <x v="11"/>
    <s v="Q4"/>
    <x v="3"/>
    <s v="Canada"/>
    <s v="Domestic distributor"/>
    <x v="2"/>
    <s v="Industrial machinery"/>
    <x v="1"/>
    <x v="1"/>
    <s v="JIS SM490"/>
    <n v="20.79"/>
    <n v="2297"/>
    <n v="10.3"/>
    <n v="99.26"/>
    <n v="1262.21"/>
    <n v="125286.96"/>
    <n v="4.4400000000000002E-2"/>
    <n v="119724.22"/>
    <n v="1965.71"/>
    <n v="0.1658"/>
    <n v="19850.28"/>
    <s v="LC at sight"/>
    <s v="R. Iyer"/>
    <s v="Synthetic sample row shaped by public steel product sales and shipment references"/>
  </r>
  <r>
    <s v="STL-2025-01161"/>
    <x v="289"/>
    <n v="2025"/>
    <x v="8"/>
    <s v="Q1"/>
    <x v="0"/>
    <s v="Taiwan"/>
    <s v="Export distributor"/>
    <x v="4"/>
    <s v="Construction"/>
    <x v="3"/>
    <x v="3"/>
    <s v="EN 10219"/>
    <n v="6.14"/>
    <n v="568"/>
    <n v="10.9"/>
    <n v="200.34"/>
    <n v="1213.51"/>
    <n v="243114.59"/>
    <n v="2.5700000000000001E-2"/>
    <n v="236866.55"/>
    <n v="16677.099999999999"/>
    <n v="0.188"/>
    <n v="44530.91"/>
    <s v="Advance"/>
    <s v="R. Iyer"/>
    <s v="Synthetic sample row shaped by public steel product sales and shipment references"/>
  </r>
  <r>
    <s v="STL-2024-01163"/>
    <x v="235"/>
    <n v="2024"/>
    <x v="1"/>
    <s v="Q2"/>
    <x v="2"/>
    <s v="UAE"/>
    <s v="Export direct"/>
    <x v="5"/>
    <s v="Construction"/>
    <x v="3"/>
    <x v="3"/>
    <s v="JIS G3444"/>
    <n v="12.38"/>
    <n v="580"/>
    <n v="6.7"/>
    <n v="164.4"/>
    <n v="1416.88"/>
    <n v="232935.07"/>
    <n v="6.13E-2"/>
    <n v="218656.15"/>
    <n v="14532.68"/>
    <n v="0.16919999999999999"/>
    <n v="36996.620000000003"/>
    <s v="Net 15"/>
    <s v="A. Mehta"/>
    <s v="Synthetic sample row shaped by public steel product sales and shipment references"/>
  </r>
  <r>
    <s v="STL-2024-01164"/>
    <x v="290"/>
    <n v="2024"/>
    <x v="0"/>
    <s v="Q3"/>
    <x v="6"/>
    <s v="Kenya"/>
    <s v="Export distributor"/>
    <x v="2"/>
    <s v="Energy"/>
    <x v="2"/>
    <x v="2"/>
    <s v="API L80"/>
    <n v="14.68"/>
    <n v="215"/>
    <n v="3.6"/>
    <n v="6.77"/>
    <n v="1350.68"/>
    <n v="9144.1"/>
    <n v="5.8000000000000003E-2"/>
    <n v="8613.74"/>
    <n v="520.99"/>
    <n v="0.1623"/>
    <n v="1398.01"/>
    <s v="Net 45"/>
    <s v="S. Kapoor"/>
    <s v="Synthetic sample row shaped by public steel product sales and shipment references"/>
  </r>
  <r>
    <s v="STL-2025-01165"/>
    <x v="291"/>
    <n v="2025"/>
    <x v="9"/>
    <s v="Q1"/>
    <x v="6"/>
    <s v="Egypt"/>
    <s v="Domestic distributor"/>
    <x v="0"/>
    <s v="Industrial machinery"/>
    <x v="1"/>
    <x v="1"/>
    <s v="JIS SM490"/>
    <n v="33.68"/>
    <n v="3046"/>
    <n v="4.5999999999999996"/>
    <n v="88.61"/>
    <n v="1051.4100000000001"/>
    <n v="93165.440000000002"/>
    <n v="1.7999999999999999E-2"/>
    <n v="91488.46"/>
    <n v="3584.13"/>
    <n v="0.11840000000000001"/>
    <n v="10832.23"/>
    <s v="Net 30"/>
    <s v="D. Chen"/>
    <s v="Synthetic sample row shaped by public steel product sales and shipment references"/>
  </r>
  <r>
    <s v="STL-2025-01169"/>
    <x v="292"/>
    <n v="2025"/>
    <x v="1"/>
    <s v="Q2"/>
    <x v="2"/>
    <s v="Qatar"/>
    <s v="Export distributor"/>
    <x v="6"/>
    <s v="Construction"/>
    <x v="3"/>
    <x v="3"/>
    <s v="API 5L"/>
    <n v="11.24"/>
    <n v="198"/>
    <n v="7.4"/>
    <n v="169.49"/>
    <n v="1350.17"/>
    <n v="228840.31"/>
    <n v="3.3399999999999999E-2"/>
    <n v="221197.04"/>
    <n v="9654.6"/>
    <n v="0.20150000000000001"/>
    <n v="44571.199999999997"/>
    <s v="Net 15"/>
    <s v="S. Kapoor"/>
    <s v="Synthetic sample row shaped by public steel product sales and shipment references"/>
  </r>
  <r>
    <s v="STL-2025-01170"/>
    <x v="213"/>
    <n v="2025"/>
    <x v="1"/>
    <s v="Q2"/>
    <x v="5"/>
    <s v="Sri Lanka"/>
    <s v="Domestic direct"/>
    <x v="6"/>
    <s v="Construction"/>
    <x v="3"/>
    <x v="3"/>
    <s v="API 5L"/>
    <n v="15.72"/>
    <n v="303"/>
    <n v="5.8"/>
    <n v="60.86"/>
    <n v="1067.8399999999999"/>
    <n v="64988.74"/>
    <n v="5.5899999999999998E-2"/>
    <n v="61355.87"/>
    <n v="1623.45"/>
    <n v="0.23200000000000001"/>
    <n v="14234.56"/>
    <s v="Net 30"/>
    <s v="F. Haddad"/>
    <s v="Synthetic sample row shaped by public steel product sales and shipment references"/>
  </r>
  <r>
    <s v="STL-2024-01178"/>
    <x v="293"/>
    <n v="2024"/>
    <x v="11"/>
    <s v="Q4"/>
    <x v="1"/>
    <s v="Poland"/>
    <s v="Export direct"/>
    <x v="7"/>
    <s v="Industrial machinery"/>
    <x v="1"/>
    <x v="1"/>
    <s v="ASTM A572"/>
    <n v="28.05"/>
    <n v="3041"/>
    <n v="8.1"/>
    <n v="38.04"/>
    <n v="1136.24"/>
    <n v="43222.57"/>
    <n v="2.5499999999999998E-2"/>
    <n v="42120.39"/>
    <n v="2209.4"/>
    <n v="0.24709999999999999"/>
    <n v="10407.950000000001"/>
    <s v="Advance"/>
    <s v="M. Alvarez"/>
    <s v="Synthetic sample row shaped by public steel product sales and shipment references"/>
  </r>
  <r>
    <s v="STL-2025-01180"/>
    <x v="294"/>
    <n v="2025"/>
    <x v="1"/>
    <s v="Q2"/>
    <x v="3"/>
    <s v="Canada"/>
    <s v="Export direct"/>
    <x v="3"/>
    <s v="Energy"/>
    <x v="2"/>
    <x v="2"/>
    <s v="API N80"/>
    <n v="7.16"/>
    <n v="251"/>
    <n v="11.8"/>
    <n v="256.75"/>
    <n v="1593.46"/>
    <n v="409120.85"/>
    <n v="5.7799999999999997E-2"/>
    <n v="385473.66"/>
    <n v="21587.85"/>
    <n v="0.22009999999999999"/>
    <n v="84842.75"/>
    <s v="LC at sight"/>
    <s v="M. Alvarez"/>
    <s v="Synthetic sample row shaped by public steel product sales and shipment references"/>
  </r>
  <r>
    <s v="STL-2025-01191"/>
    <x v="295"/>
    <n v="2025"/>
    <x v="8"/>
    <s v="Q1"/>
    <x v="2"/>
    <s v="Qatar"/>
    <s v="Export distributor"/>
    <x v="4"/>
    <s v="Construction"/>
    <x v="3"/>
    <x v="3"/>
    <s v="ASTM A53"/>
    <n v="14.02"/>
    <n v="381"/>
    <n v="3.9"/>
    <n v="14.34"/>
    <n v="1291.8699999999999"/>
    <n v="18525.419999999998"/>
    <n v="2.4199999999999999E-2"/>
    <n v="18077.099999999999"/>
    <n v="1101.01"/>
    <n v="0.1174"/>
    <n v="2122.25"/>
    <s v="Net 30"/>
    <s v="M. Alvarez"/>
    <s v="Synthetic sample row shaped by public steel product sales and shipment references"/>
  </r>
  <r>
    <s v="STL-2024-01192"/>
    <x v="296"/>
    <n v="2024"/>
    <x v="0"/>
    <s v="Q3"/>
    <x v="2"/>
    <s v="Qatar"/>
    <s v="Domestic distributor"/>
    <x v="3"/>
    <s v="Energy"/>
    <x v="1"/>
    <x v="1"/>
    <s v="ASTM A516"/>
    <n v="24.56"/>
    <n v="3072"/>
    <n v="5.5"/>
    <n v="105.03"/>
    <n v="1099.42"/>
    <n v="115472.08"/>
    <n v="5.1499999999999997E-2"/>
    <n v="109525.27"/>
    <n v="3779.74"/>
    <n v="0.21149999999999999"/>
    <n v="23164.59"/>
    <s v="Advance"/>
    <s v="D. Chen"/>
    <s v="Synthetic sample row shaped by public steel product sales and shipment references"/>
  </r>
  <r>
    <s v="STL-2024-01193"/>
    <x v="11"/>
    <n v="2024"/>
    <x v="8"/>
    <s v="Q1"/>
    <x v="6"/>
    <s v="Egypt"/>
    <s v="Domestic direct"/>
    <x v="6"/>
    <s v="Energy"/>
    <x v="2"/>
    <x v="2"/>
    <s v="API L80"/>
    <n v="13.33"/>
    <n v="338"/>
    <n v="8.9"/>
    <n v="86.43"/>
    <n v="1527.97"/>
    <n v="132062.45000000001"/>
    <n v="3.2899999999999999E-2"/>
    <n v="127717.6"/>
    <n v="3611.11"/>
    <n v="0.17510000000000001"/>
    <n v="22363.35"/>
    <s v="Net 30"/>
    <s v="S. Kapoor"/>
    <s v="Synthetic sample row shaped by public steel product sales and shipment references"/>
  </r>
  <r>
    <s v="STL-2024-01201"/>
    <x v="297"/>
    <n v="2024"/>
    <x v="0"/>
    <s v="Q3"/>
    <x v="5"/>
    <s v="Sri Lanka"/>
    <s v="Export direct"/>
    <x v="5"/>
    <s v="Infrastructure"/>
    <x v="3"/>
    <x v="3"/>
    <s v="JIS G3444"/>
    <n v="14.55"/>
    <n v="206"/>
    <n v="10.9"/>
    <n v="156.79"/>
    <n v="1059.44"/>
    <n v="166109.6"/>
    <n v="2.1399999999999999E-2"/>
    <n v="162554.85"/>
    <n v="8298.2800000000007"/>
    <n v="0.11020000000000001"/>
    <n v="17913.54"/>
    <s v="Net 30"/>
    <s v="S. Kapoor"/>
    <s v="Synthetic sample row shaped by public steel product sales and shipment references"/>
  </r>
  <r>
    <s v="STL-2025-01202"/>
    <x v="298"/>
    <n v="2025"/>
    <x v="6"/>
    <s v="Q3"/>
    <x v="2"/>
    <s v="UAE"/>
    <s v="Domestic distributor"/>
    <x v="7"/>
    <s v="Energy"/>
    <x v="3"/>
    <x v="3"/>
    <s v="JIS G3444"/>
    <n v="4.75"/>
    <n v="197"/>
    <n v="3.6"/>
    <n v="133.25"/>
    <n v="1122.1400000000001"/>
    <n v="149525.15"/>
    <n v="2.1299999999999999E-2"/>
    <n v="146340.26"/>
    <n v="4058.91"/>
    <n v="0.23200000000000001"/>
    <n v="33950.94"/>
    <s v="Net 15"/>
    <s v="K. Wilson"/>
    <s v="Synthetic sample row shaped by public steel product sales and shipment references"/>
  </r>
  <r>
    <s v="STL-2024-01205"/>
    <x v="172"/>
    <n v="2024"/>
    <x v="2"/>
    <s v="Q1"/>
    <x v="3"/>
    <s v="Mexico"/>
    <s v="Domestic direct"/>
    <x v="6"/>
    <s v="Energy"/>
    <x v="3"/>
    <x v="3"/>
    <s v="ASTM A53"/>
    <n v="6.28"/>
    <n v="355"/>
    <n v="8.1999999999999993"/>
    <n v="56.94"/>
    <n v="1268.71"/>
    <n v="72240.350000000006"/>
    <n v="3.8699999999999998E-2"/>
    <n v="69444.649999999994"/>
    <n v="1528.28"/>
    <n v="0.1789"/>
    <n v="12423.65"/>
    <s v="Net 45"/>
    <s v="A. Mehta"/>
    <s v="Synthetic sample row shaped by public steel product sales and shipment references"/>
  </r>
  <r>
    <s v="STL-2024-01209"/>
    <x v="299"/>
    <n v="2024"/>
    <x v="3"/>
    <s v="Q2"/>
    <x v="5"/>
    <s v="Bangladesh"/>
    <s v="Export distributor"/>
    <x v="2"/>
    <s v="Infrastructure"/>
    <x v="3"/>
    <x v="3"/>
    <s v="EN 10219"/>
    <n v="15.15"/>
    <n v="573"/>
    <n v="5.3"/>
    <n v="39.47"/>
    <n v="1112.3599999999999"/>
    <n v="43904.85"/>
    <n v="5.5800000000000002E-2"/>
    <n v="41454.959999999999"/>
    <n v="3507.7"/>
    <n v="0.20050000000000001"/>
    <n v="8311.7199999999993"/>
    <s v="Net 30"/>
    <s v="S. Kapoor"/>
    <s v="Synthetic sample row shaped by public steel product sales and shipment references"/>
  </r>
  <r>
    <s v="STL-2025-01210"/>
    <x v="300"/>
    <n v="2025"/>
    <x v="11"/>
    <s v="Q4"/>
    <x v="3"/>
    <s v="United States"/>
    <s v="Domestic direct"/>
    <x v="3"/>
    <s v="Construction"/>
    <x v="0"/>
    <x v="0"/>
    <s v="IS 1786"/>
    <n v="18.100000000000001"/>
    <n v="11"/>
    <n v="6.9"/>
    <n v="563.59"/>
    <n v="771.3"/>
    <n v="434696.97"/>
    <n v="3.15E-2"/>
    <n v="421004.02"/>
    <n v="11885.03"/>
    <n v="0.1462"/>
    <n v="61550.79"/>
    <s v="Net 30"/>
    <s v="N. Sharma"/>
    <s v="Synthetic sample row shaped by public steel product sales and shipment references"/>
  </r>
  <r>
    <s v="STL-2024-01219"/>
    <x v="301"/>
    <n v="2024"/>
    <x v="5"/>
    <s v="Q4"/>
    <x v="2"/>
    <s v="UAE"/>
    <s v="Domestic distributor"/>
    <x v="5"/>
    <s v="Infrastructure"/>
    <x v="3"/>
    <x v="3"/>
    <s v="API 5L"/>
    <n v="2.3199999999999998"/>
    <n v="481"/>
    <n v="11.6"/>
    <n v="154.15"/>
    <n v="1230.04"/>
    <n v="189610.67"/>
    <n v="3.5700000000000003E-2"/>
    <n v="182841.57"/>
    <n v="5282.72"/>
    <n v="0.13059999999999999"/>
    <n v="23879.11"/>
    <s v="Advance"/>
    <s v="F. Haddad"/>
    <s v="Synthetic sample row shaped by public steel product sales and shipment references"/>
  </r>
  <r>
    <s v="STL-2025-01220"/>
    <x v="175"/>
    <n v="2025"/>
    <x v="9"/>
    <s v="Q1"/>
    <x v="5"/>
    <s v="Bangladesh"/>
    <s v="Domestic direct"/>
    <x v="1"/>
    <s v="Shipbuilding"/>
    <x v="1"/>
    <x v="1"/>
    <s v="EN S355"/>
    <n v="35.369999999999997"/>
    <n v="2697"/>
    <n v="6.4"/>
    <n v="7.47"/>
    <n v="1057.98"/>
    <n v="7903.11"/>
    <n v="1.47E-2"/>
    <n v="7786.93"/>
    <n v="154.66"/>
    <n v="0.1203"/>
    <n v="936.77"/>
    <s v="Net 15"/>
    <s v="M. Alvarez"/>
    <s v="Synthetic sample row shaped by public steel product sales and shipment references"/>
  </r>
  <r>
    <s v="STL-2024-01222"/>
    <x v="302"/>
    <n v="2024"/>
    <x v="8"/>
    <s v="Q1"/>
    <x v="1"/>
    <s v="Germany"/>
    <s v="Export direct"/>
    <x v="6"/>
    <s v="Energy"/>
    <x v="1"/>
    <x v="1"/>
    <s v="EN S355"/>
    <n v="70.53"/>
    <n v="1992"/>
    <n v="11.9"/>
    <n v="233.11"/>
    <n v="1225.02"/>
    <n v="285564.40999999997"/>
    <n v="2.9000000000000001E-2"/>
    <n v="277283.03999999998"/>
    <n v="21053.09"/>
    <n v="0.20710000000000001"/>
    <n v="57425.32"/>
    <s v="Advance"/>
    <s v="A. Mehta"/>
    <s v="Synthetic sample row shaped by public steel product sales and shipment references"/>
  </r>
  <r>
    <s v="STL-2025-01224"/>
    <x v="23"/>
    <n v="2025"/>
    <x v="1"/>
    <s v="Q2"/>
    <x v="3"/>
    <s v="United States"/>
    <s v="Export distributor"/>
    <x v="0"/>
    <s v="Energy"/>
    <x v="3"/>
    <x v="3"/>
    <s v="ASTM A53"/>
    <n v="8.68"/>
    <n v="598"/>
    <n v="10.1"/>
    <n v="195.54"/>
    <n v="1286.53"/>
    <n v="251568.08"/>
    <n v="4.7899999999999998E-2"/>
    <n v="239517.97"/>
    <n v="10805.55"/>
    <n v="0.25309999999999999"/>
    <n v="60622"/>
    <s v="Net 15"/>
    <s v="A. Mehta"/>
    <s v="Synthetic sample row shaped by public steel product sales and shipment references"/>
  </r>
  <r>
    <s v="STL-2025-01231"/>
    <x v="105"/>
    <n v="2025"/>
    <x v="0"/>
    <s v="Q3"/>
    <x v="2"/>
    <s v="Qatar"/>
    <s v="Export distributor"/>
    <x v="5"/>
    <s v="Infrastructure"/>
    <x v="0"/>
    <x v="0"/>
    <s v="B500B"/>
    <n v="36.840000000000003"/>
    <n v="37"/>
    <n v="8.3000000000000007"/>
    <n v="321.79000000000002"/>
    <n v="795.86"/>
    <n v="256099.79"/>
    <n v="3.4500000000000003E-2"/>
    <n v="247264.35"/>
    <n v="27598.9"/>
    <n v="0.152"/>
    <n v="37584.18"/>
    <s v="LC at sight"/>
    <s v="K. Wilson"/>
    <s v="Synthetic sample row shaped by public steel product sales and shipment references"/>
  </r>
  <r>
    <s v="STL-2025-01234"/>
    <x v="303"/>
    <n v="2025"/>
    <x v="7"/>
    <s v="Q4"/>
    <x v="5"/>
    <s v="Bangladesh"/>
    <s v="Domestic direct"/>
    <x v="4"/>
    <s v="Energy"/>
    <x v="2"/>
    <x v="2"/>
    <s v="API N80"/>
    <n v="14.24"/>
    <n v="186"/>
    <n v="9.9"/>
    <n v="202.27"/>
    <n v="1424.63"/>
    <n v="288159.90999999997"/>
    <n v="4.0599999999999997E-2"/>
    <n v="276460.62"/>
    <n v="4789.0600000000004"/>
    <n v="0.23269999999999999"/>
    <n v="64332.39"/>
    <s v="Net 30"/>
    <s v="S. Kapoor"/>
    <s v="Synthetic sample row shaped by public steel product sales and shipment references"/>
  </r>
  <r>
    <s v="STL-2025-01236"/>
    <x v="304"/>
    <n v="2025"/>
    <x v="0"/>
    <s v="Q3"/>
    <x v="3"/>
    <s v="United States"/>
    <s v="Domestic distributor"/>
    <x v="4"/>
    <s v="Energy"/>
    <x v="2"/>
    <x v="2"/>
    <s v="API P110"/>
    <n v="9.9499999999999993"/>
    <n v="81"/>
    <n v="10.1"/>
    <n v="125.59"/>
    <n v="1550.85"/>
    <n v="194771.25"/>
    <n v="3.1099999999999999E-2"/>
    <n v="188713.86"/>
    <n v="2355.0300000000002"/>
    <n v="0.28660000000000002"/>
    <n v="54085.39"/>
    <s v="Net 30"/>
    <s v="D. Chen"/>
    <s v="Synthetic sample row shaped by public steel product sales and shipment references"/>
  </r>
  <r>
    <s v="STL-2024-01241"/>
    <x v="53"/>
    <n v="2024"/>
    <x v="9"/>
    <s v="Q1"/>
    <x v="5"/>
    <s v="Sri Lanka"/>
    <s v="Export distributor"/>
    <x v="6"/>
    <s v="Construction"/>
    <x v="3"/>
    <x v="3"/>
    <s v="EN 10219"/>
    <n v="5.84"/>
    <n v="118"/>
    <n v="6.7"/>
    <n v="35.75"/>
    <n v="1089.68"/>
    <n v="38956.06"/>
    <n v="2.8000000000000001E-2"/>
    <n v="37865.29"/>
    <n v="2862.48"/>
    <n v="0.24049999999999999"/>
    <n v="9106.6"/>
    <s v="Advance"/>
    <s v="S. Kapoor"/>
    <s v="Synthetic sample row shaped by public steel product sales and shipment references"/>
  </r>
  <r>
    <s v="STL-2024-01242"/>
    <x v="69"/>
    <n v="2024"/>
    <x v="7"/>
    <s v="Q4"/>
    <x v="2"/>
    <s v="Qatar"/>
    <s v="Domestic distributor"/>
    <x v="3"/>
    <s v="Infrastructure"/>
    <x v="0"/>
    <x v="0"/>
    <s v="BS 4449"/>
    <n v="9.4700000000000006"/>
    <n v="30"/>
    <n v="11.5"/>
    <n v="432.29"/>
    <n v="848.46"/>
    <n v="366780.77"/>
    <n v="5.5599999999999997E-2"/>
    <n v="346387.76"/>
    <n v="15223.66"/>
    <n v="0.2611"/>
    <n v="90441.84"/>
    <s v="Net 45"/>
    <s v="S. Kapoor"/>
    <s v="Synthetic sample row shaped by public steel product sales and shipment references"/>
  </r>
  <r>
    <s v="STL-2024-01243"/>
    <x v="305"/>
    <n v="2024"/>
    <x v="6"/>
    <s v="Q3"/>
    <x v="4"/>
    <s v="Indonesia"/>
    <s v="Export distributor"/>
    <x v="5"/>
    <s v="Energy"/>
    <x v="2"/>
    <x v="2"/>
    <s v="API J55"/>
    <n v="16.690000000000001"/>
    <n v="172"/>
    <n v="8.6999999999999993"/>
    <n v="114.5"/>
    <n v="1346.25"/>
    <n v="154145.63"/>
    <n v="3.7400000000000003E-2"/>
    <n v="148380.57999999999"/>
    <n v="6166.36"/>
    <n v="0.1694"/>
    <n v="25135.67"/>
    <s v="LC at sight"/>
    <s v="F. Haddad"/>
    <s v="Synthetic sample row shaped by public steel product sales and shipment references"/>
  </r>
  <r>
    <s v="STL-2025-01252"/>
    <x v="306"/>
    <n v="2025"/>
    <x v="9"/>
    <s v="Q1"/>
    <x v="4"/>
    <s v="Vietnam"/>
    <s v="Export direct"/>
    <x v="0"/>
    <s v="Infrastructure"/>
    <x v="3"/>
    <x v="3"/>
    <s v="EN 10219"/>
    <n v="3.14"/>
    <n v="115"/>
    <n v="4.8"/>
    <n v="166.75"/>
    <n v="1006.12"/>
    <n v="167770.51"/>
    <n v="4.8399999999999999E-2"/>
    <n v="159650.42000000001"/>
    <n v="12119.58"/>
    <n v="0.1903"/>
    <n v="30381.47"/>
    <s v="Advance"/>
    <s v="R. Iyer"/>
    <s v="Synthetic sample row shaped by public steel product sales and shipment references"/>
  </r>
  <r>
    <s v="STL-2025-01254"/>
    <x v="252"/>
    <n v="2025"/>
    <x v="11"/>
    <s v="Q4"/>
    <x v="5"/>
    <s v="Sri Lanka"/>
    <s v="Export distributor"/>
    <x v="5"/>
    <s v="Infrastructure"/>
    <x v="3"/>
    <x v="3"/>
    <s v="ASTM A53"/>
    <n v="12.41"/>
    <n v="272"/>
    <n v="11.3"/>
    <n v="9.5399999999999991"/>
    <n v="1209.8"/>
    <n v="11541.49"/>
    <n v="6.0499999999999998E-2"/>
    <n v="10843.23"/>
    <n v="872.48"/>
    <n v="0.188"/>
    <n v="2038.53"/>
    <s v="Net 15"/>
    <s v="A. Mehta"/>
    <s v="Synthetic sample row shaped by public steel product sales and shipment references"/>
  </r>
  <r>
    <s v="STL-2025-01258"/>
    <x v="307"/>
    <n v="2025"/>
    <x v="4"/>
    <s v="Q2"/>
    <x v="1"/>
    <s v="Spain"/>
    <s v="Export distributor"/>
    <x v="3"/>
    <s v="Construction"/>
    <x v="0"/>
    <x v="0"/>
    <s v="IS 1786"/>
    <n v="18.87"/>
    <n v="18"/>
    <n v="8.9"/>
    <n v="257.91000000000003"/>
    <n v="812.31"/>
    <n v="209502.87"/>
    <n v="3.9399999999999998E-2"/>
    <n v="201248.46"/>
    <n v="19906.64"/>
    <n v="0.2404"/>
    <n v="48380.13"/>
    <s v="Net 30"/>
    <s v="R. Iyer"/>
    <s v="Synthetic sample row shaped by public steel product sales and shipment references"/>
  </r>
  <r>
    <s v="STL-2024-01260"/>
    <x v="258"/>
    <n v="2024"/>
    <x v="11"/>
    <s v="Q4"/>
    <x v="4"/>
    <s v="Vietnam"/>
    <s v="Domestic distributor"/>
    <x v="7"/>
    <s v="Infrastructure"/>
    <x v="3"/>
    <x v="3"/>
    <s v="JIS G3444"/>
    <n v="4.4000000000000004"/>
    <n v="309"/>
    <n v="5.4"/>
    <n v="93.03"/>
    <n v="1257.22"/>
    <n v="116959.18"/>
    <n v="4.53E-2"/>
    <n v="111660.93"/>
    <n v="3815.26"/>
    <n v="0.15210000000000001"/>
    <n v="16983.63"/>
    <s v="Advance"/>
    <s v="K. Wilson"/>
    <s v="Synthetic sample row shaped by public steel product sales and shipment references"/>
  </r>
  <r>
    <s v="STL-2024-01263"/>
    <x v="227"/>
    <n v="2024"/>
    <x v="10"/>
    <s v="Q3"/>
    <x v="0"/>
    <s v="Japan"/>
    <s v="Domestic direct"/>
    <x v="3"/>
    <s v="Construction"/>
    <x v="0"/>
    <x v="0"/>
    <s v="B500B"/>
    <n v="35.76"/>
    <n v="23"/>
    <n v="7.4"/>
    <n v="74.64"/>
    <n v="681.76"/>
    <n v="50886.57"/>
    <n v="1.3299999999999999E-2"/>
    <n v="50209.78"/>
    <n v="2736.14"/>
    <n v="0.19450000000000001"/>
    <n v="9765.7999999999993"/>
    <s v="LC at sight"/>
    <s v="N. Sharma"/>
    <s v="Synthetic sample row shaped by public steel product sales and shipment references"/>
  </r>
  <r>
    <s v="STL-2025-01269"/>
    <x v="236"/>
    <n v="2025"/>
    <x v="2"/>
    <s v="Q1"/>
    <x v="5"/>
    <s v="India"/>
    <s v="Export distributor"/>
    <x v="3"/>
    <s v="Industrial machinery"/>
    <x v="1"/>
    <x v="1"/>
    <s v="ASTM A516"/>
    <n v="8.6199999999999992"/>
    <n v="1921"/>
    <n v="4.3"/>
    <n v="167.69"/>
    <n v="1047.42"/>
    <n v="175641.86"/>
    <n v="2.4400000000000002E-2"/>
    <n v="171356.2"/>
    <n v="11217.55"/>
    <n v="0.11650000000000001"/>
    <n v="19963"/>
    <s v="Net 45"/>
    <s v="D. Chen"/>
    <s v="Synthetic sample row shaped by public steel product sales and shipment references"/>
  </r>
  <r>
    <s v="STL-2025-01270"/>
    <x v="187"/>
    <n v="2025"/>
    <x v="10"/>
    <s v="Q3"/>
    <x v="1"/>
    <s v="Spain"/>
    <s v="Domestic distributor"/>
    <x v="3"/>
    <s v="Energy"/>
    <x v="2"/>
    <x v="2"/>
    <s v="API J55"/>
    <n v="13.13"/>
    <n v="147"/>
    <n v="6.7"/>
    <n v="121.15"/>
    <n v="1506"/>
    <n v="182451.9"/>
    <n v="4.1200000000000001E-2"/>
    <n v="174934.88"/>
    <n v="5046.7299999999996"/>
    <n v="0.21149999999999999"/>
    <n v="36998.730000000003"/>
    <s v="LC at sight"/>
    <s v="F. Haddad"/>
    <s v="Synthetic sample row shaped by public steel product sales and shipment references"/>
  </r>
  <r>
    <s v="STL-2025-01271"/>
    <x v="308"/>
    <n v="2025"/>
    <x v="11"/>
    <s v="Q4"/>
    <x v="4"/>
    <s v="Indonesia"/>
    <s v="Export distributor"/>
    <x v="7"/>
    <s v="Energy"/>
    <x v="2"/>
    <x v="2"/>
    <s v="API J55"/>
    <n v="15.61"/>
    <n v="239"/>
    <n v="9.4"/>
    <n v="41.36"/>
    <n v="1500.78"/>
    <n v="62072.26"/>
    <n v="4.4499999999999998E-2"/>
    <n v="59310.04"/>
    <n v="3851.66"/>
    <n v="0.13420000000000001"/>
    <n v="7959.41"/>
    <s v="LC at sight"/>
    <s v="D. Chen"/>
    <s v="Synthetic sample row shaped by public steel product sales and shipment references"/>
  </r>
  <r>
    <s v="STL-2024-01272"/>
    <x v="309"/>
    <n v="2024"/>
    <x v="2"/>
    <s v="Q1"/>
    <x v="3"/>
    <s v="Mexico"/>
    <s v="Export direct"/>
    <x v="4"/>
    <s v="Energy"/>
    <x v="1"/>
    <x v="1"/>
    <s v="JIS SM490"/>
    <n v="57.62"/>
    <n v="1847"/>
    <n v="3.8"/>
    <n v="95.77"/>
    <n v="1341.19"/>
    <n v="128445.77"/>
    <n v="3.8399999999999997E-2"/>
    <n v="123513.45"/>
    <n v="6362.36"/>
    <n v="0.22589999999999999"/>
    <n v="27901.69"/>
    <s v="LC at sight"/>
    <s v="D. Chen"/>
    <s v="Synthetic sample row shaped by public steel product sales and shipment references"/>
  </r>
  <r>
    <s v="STL-2024-01274"/>
    <x v="240"/>
    <n v="2024"/>
    <x v="9"/>
    <s v="Q1"/>
    <x v="4"/>
    <s v="Vietnam"/>
    <s v="Export direct"/>
    <x v="3"/>
    <s v="Construction"/>
    <x v="3"/>
    <x v="3"/>
    <s v="JIS G3444"/>
    <n v="13.19"/>
    <n v="192"/>
    <n v="10.6"/>
    <n v="95.47"/>
    <n v="1125.32"/>
    <n v="107434.3"/>
    <n v="5.28E-2"/>
    <n v="101761.77"/>
    <n v="8450.7999999999993"/>
    <n v="0.10390000000000001"/>
    <n v="10573.05"/>
    <s v="Advance"/>
    <s v="A. Mehta"/>
    <s v="Synthetic sample row shaped by public steel product sales and shipment references"/>
  </r>
  <r>
    <s v="STL-2025-01280"/>
    <x v="310"/>
    <n v="2025"/>
    <x v="1"/>
    <s v="Q2"/>
    <x v="4"/>
    <s v="Vietnam"/>
    <s v="Export distributor"/>
    <x v="1"/>
    <s v="Construction"/>
    <x v="0"/>
    <x v="0"/>
    <s v="B500B"/>
    <n v="22.7"/>
    <n v="16"/>
    <n v="4.8"/>
    <n v="64.040000000000006"/>
    <n v="808.99"/>
    <n v="51807.72"/>
    <n v="3.9100000000000003E-2"/>
    <n v="49782.04"/>
    <n v="6063.43"/>
    <n v="0.14940000000000001"/>
    <n v="7437.44"/>
    <s v="Advance"/>
    <s v="A. Mehta"/>
    <s v="Synthetic sample row shaped by public steel product sales and shipment references"/>
  </r>
  <r>
    <s v="STL-2024-01288"/>
    <x v="68"/>
    <n v="2024"/>
    <x v="10"/>
    <s v="Q3"/>
    <x v="2"/>
    <s v="Saudi Arabia"/>
    <s v="Domestic distributor"/>
    <x v="7"/>
    <s v="Energy"/>
    <x v="1"/>
    <x v="1"/>
    <s v="EN S355"/>
    <n v="71.5"/>
    <n v="1661"/>
    <n v="7"/>
    <n v="79.430000000000007"/>
    <n v="1153.1199999999999"/>
    <n v="91592.320000000007"/>
    <n v="3.1600000000000003E-2"/>
    <n v="88698"/>
    <n v="1829.72"/>
    <n v="0.14849999999999999"/>
    <n v="13171.65"/>
    <s v="Advance"/>
    <s v="R. Iyer"/>
    <s v="Synthetic sample row shaped by public steel product sales and shipment references"/>
  </r>
  <r>
    <s v="STL-2024-01292"/>
    <x v="311"/>
    <n v="2024"/>
    <x v="4"/>
    <s v="Q2"/>
    <x v="4"/>
    <s v="Malaysia"/>
    <s v="Export distributor"/>
    <x v="1"/>
    <s v="Shipbuilding"/>
    <x v="1"/>
    <x v="1"/>
    <s v="JIS SM490"/>
    <n v="50.02"/>
    <n v="2848"/>
    <n v="7.6"/>
    <n v="142.22"/>
    <n v="1160.47"/>
    <n v="165042.04"/>
    <n v="4.5699999999999998E-2"/>
    <n v="157499.62"/>
    <n v="11782.48"/>
    <n v="0.1401"/>
    <n v="22065.7"/>
    <s v="LC at sight"/>
    <s v="F. Haddad"/>
    <s v="Synthetic sample row shaped by public steel product sales and shipment references"/>
  </r>
  <r>
    <s v="STL-2025-01293"/>
    <x v="124"/>
    <n v="2025"/>
    <x v="2"/>
    <s v="Q1"/>
    <x v="1"/>
    <s v="Germany"/>
    <s v="Export distributor"/>
    <x v="2"/>
    <s v="Construction"/>
    <x v="0"/>
    <x v="0"/>
    <s v="IS 1786"/>
    <n v="36.28"/>
    <n v="36"/>
    <n v="7.5"/>
    <n v="230.88"/>
    <n v="792.34"/>
    <n v="182935.46"/>
    <n v="5.3499999999999999E-2"/>
    <n v="173148.41"/>
    <n v="20803.71"/>
    <n v="0.1308"/>
    <n v="22647.81"/>
    <s v="Advance"/>
    <s v="D. Chen"/>
    <s v="Synthetic sample row shaped by public steel product sales and shipment references"/>
  </r>
  <r>
    <s v="STL-2025-01302"/>
    <x v="312"/>
    <n v="2025"/>
    <x v="2"/>
    <s v="Q1"/>
    <x v="3"/>
    <s v="Mexico"/>
    <s v="Export direct"/>
    <x v="4"/>
    <s v="Energy"/>
    <x v="3"/>
    <x v="3"/>
    <s v="ASTM A53"/>
    <n v="9.9"/>
    <n v="385"/>
    <n v="10.9"/>
    <n v="239.87"/>
    <n v="1322.23"/>
    <n v="317163.31"/>
    <n v="5.7000000000000002E-2"/>
    <n v="299085"/>
    <n v="14465"/>
    <n v="0.1774"/>
    <n v="53057.68"/>
    <s v="LC at sight"/>
    <s v="K. Wilson"/>
    <s v="Synthetic sample row shaped by public steel product sales and shipment references"/>
  </r>
  <r>
    <s v="STL-2024-01307"/>
    <x v="313"/>
    <n v="2024"/>
    <x v="5"/>
    <s v="Q4"/>
    <x v="0"/>
    <s v="Taiwan"/>
    <s v="Domestic distributor"/>
    <x v="7"/>
    <s v="Shipbuilding"/>
    <x v="1"/>
    <x v="1"/>
    <s v="EN S355"/>
    <n v="10.56"/>
    <n v="1613"/>
    <n v="7.6"/>
    <n v="106.82"/>
    <n v="1054.5899999999999"/>
    <n v="112651.3"/>
    <n v="1.29E-2"/>
    <n v="111198.1"/>
    <n v="3319.81"/>
    <n v="0.252"/>
    <n v="28021.919999999998"/>
    <s v="Net 30"/>
    <s v="N. Sharma"/>
    <s v="Synthetic sample row shaped by public steel product sales and shipment references"/>
  </r>
  <r>
    <s v="STL-2025-01331"/>
    <x v="314"/>
    <n v="2025"/>
    <x v="2"/>
    <s v="Q1"/>
    <x v="5"/>
    <s v="Bangladesh"/>
    <s v="Export direct"/>
    <x v="7"/>
    <s v="Energy"/>
    <x v="2"/>
    <x v="2"/>
    <s v="API L80"/>
    <n v="11.38"/>
    <n v="106"/>
    <n v="4.4000000000000004"/>
    <n v="216.02"/>
    <n v="1572.31"/>
    <n v="339650.41"/>
    <n v="3.5499999999999997E-2"/>
    <n v="327592.82"/>
    <n v="19871.88"/>
    <n v="0.23899999999999999"/>
    <n v="78294.679999999993"/>
    <s v="Net 30"/>
    <s v="F. Haddad"/>
    <s v="Synthetic sample row shaped by public steel product sales and shipment references"/>
  </r>
  <r>
    <s v="STL-2025-01332"/>
    <x v="89"/>
    <n v="2025"/>
    <x v="0"/>
    <s v="Q3"/>
    <x v="1"/>
    <s v="Italy"/>
    <s v="Export distributor"/>
    <x v="5"/>
    <s v="Energy"/>
    <x v="3"/>
    <x v="3"/>
    <s v="ASTM A53"/>
    <n v="2.89"/>
    <n v="111"/>
    <n v="10.9"/>
    <n v="130.69999999999999"/>
    <n v="1227.58"/>
    <n v="160444.71"/>
    <n v="6.2100000000000002E-2"/>
    <n v="150481.09"/>
    <n v="11989.23"/>
    <n v="0.13969999999999999"/>
    <n v="21022.21"/>
    <s v="LC at sight"/>
    <s v="A. Mehta"/>
    <s v="Synthetic sample row shaped by public steel product sales and shipment references"/>
  </r>
  <r>
    <s v="STL-2025-01337"/>
    <x v="315"/>
    <n v="2025"/>
    <x v="7"/>
    <s v="Q4"/>
    <x v="6"/>
    <s v="Kenya"/>
    <s v="Domestic distributor"/>
    <x v="4"/>
    <s v="Shipbuilding"/>
    <x v="1"/>
    <x v="1"/>
    <s v="JIS SM490"/>
    <n v="73.34"/>
    <n v="2580"/>
    <n v="3.5"/>
    <n v="107.87"/>
    <n v="1244.48"/>
    <n v="134242.06"/>
    <n v="5.1499999999999997E-2"/>
    <n v="127328.59"/>
    <n v="2212.96"/>
    <n v="0.221"/>
    <n v="28139.62"/>
    <s v="Net 30"/>
    <s v="M. Alvarez"/>
    <s v="Synthetic sample row shaped by public steel product sales and shipment references"/>
  </r>
  <r>
    <s v="STL-2025-01341"/>
    <x v="316"/>
    <n v="2025"/>
    <x v="8"/>
    <s v="Q1"/>
    <x v="3"/>
    <s v="Canada"/>
    <s v="Export distributor"/>
    <x v="0"/>
    <s v="Construction"/>
    <x v="3"/>
    <x v="3"/>
    <s v="EN 10219"/>
    <n v="2.75"/>
    <n v="307"/>
    <n v="5"/>
    <n v="7.95"/>
    <n v="1265.3"/>
    <n v="10059.14"/>
    <n v="2.3E-2"/>
    <n v="9827.7800000000007"/>
    <n v="660.02"/>
    <n v="0.18010000000000001"/>
    <n v="1769.98"/>
    <s v="Advance"/>
    <s v="R. Iyer"/>
    <s v="Synthetic sample row shaped by public steel product sales and shipment references"/>
  </r>
  <r>
    <s v="STL-2025-01342"/>
    <x v="317"/>
    <n v="2025"/>
    <x v="2"/>
    <s v="Q1"/>
    <x v="5"/>
    <s v="India"/>
    <s v="Export distributor"/>
    <x v="5"/>
    <s v="Shipbuilding"/>
    <x v="1"/>
    <x v="1"/>
    <s v="ASTM A516"/>
    <n v="29.08"/>
    <n v="3182"/>
    <n v="9.9"/>
    <n v="104.9"/>
    <n v="1053.73"/>
    <n v="110536.28"/>
    <n v="2.58E-2"/>
    <n v="107684.44"/>
    <n v="5785.6"/>
    <n v="0.25679999999999997"/>
    <n v="27653.360000000001"/>
    <s v="Net 45"/>
    <s v="K. Wilson"/>
    <s v="Synthetic sample row shaped by public steel product sales and shipment references"/>
  </r>
  <r>
    <s v="STL-2024-01345"/>
    <x v="119"/>
    <n v="2024"/>
    <x v="7"/>
    <s v="Q4"/>
    <x v="0"/>
    <s v="Japan"/>
    <s v="Export distributor"/>
    <x v="5"/>
    <s v="Construction"/>
    <x v="3"/>
    <x v="3"/>
    <s v="API 5L"/>
    <n v="3.11"/>
    <n v="510"/>
    <n v="11.5"/>
    <n v="167.94"/>
    <n v="1261.78"/>
    <n v="211903.33"/>
    <n v="2.3199999999999998E-2"/>
    <n v="206987.17"/>
    <n v="14647.32"/>
    <n v="0.23169999999999999"/>
    <n v="47958.93"/>
    <s v="Advance"/>
    <s v="A. Mehta"/>
    <s v="Synthetic sample row shaped by public steel product sales and shipment references"/>
  </r>
  <r>
    <s v="STL-2024-01346"/>
    <x v="276"/>
    <n v="2024"/>
    <x v="2"/>
    <s v="Q1"/>
    <x v="5"/>
    <s v="India"/>
    <s v="Domestic direct"/>
    <x v="3"/>
    <s v="Industrial machinery"/>
    <x v="1"/>
    <x v="1"/>
    <s v="EN S355"/>
    <n v="40.96"/>
    <n v="2722"/>
    <n v="3.1"/>
    <n v="99.02"/>
    <n v="1195.29"/>
    <n v="118357.62"/>
    <n v="5.1200000000000002E-2"/>
    <n v="112297.71"/>
    <n v="3533.48"/>
    <n v="0.2041"/>
    <n v="22919.96"/>
    <s v="Advance"/>
    <s v="N. Sharma"/>
    <s v="Synthetic sample row shaped by public steel product sales and shipment references"/>
  </r>
  <r>
    <s v="STL-2024-01351"/>
    <x v="318"/>
    <n v="2024"/>
    <x v="9"/>
    <s v="Q1"/>
    <x v="1"/>
    <s v="Germany"/>
    <s v="Domestic distributor"/>
    <x v="6"/>
    <s v="Shipbuilding"/>
    <x v="1"/>
    <x v="1"/>
    <s v="ASTM A572"/>
    <n v="62.39"/>
    <n v="2034"/>
    <n v="4.9000000000000004"/>
    <n v="63.38"/>
    <n v="1142.68"/>
    <n v="72423.06"/>
    <n v="3.9600000000000003E-2"/>
    <n v="69555.11"/>
    <n v="1479.13"/>
    <n v="0.2495"/>
    <n v="17354"/>
    <s v="Net 15"/>
    <s v="N. Sharma"/>
    <s v="Synthetic sample row shaped by public steel product sales and shipment references"/>
  </r>
  <r>
    <s v="STL-2025-01352"/>
    <x v="77"/>
    <n v="2025"/>
    <x v="10"/>
    <s v="Q3"/>
    <x v="2"/>
    <s v="Saudi Arabia"/>
    <s v="Export direct"/>
    <x v="2"/>
    <s v="Shipbuilding"/>
    <x v="1"/>
    <x v="1"/>
    <s v="ASTM A516"/>
    <n v="50.65"/>
    <n v="1791"/>
    <n v="7.8"/>
    <n v="235.68"/>
    <n v="1137.1199999999999"/>
    <n v="267996.44"/>
    <n v="1.89E-2"/>
    <n v="262931.31"/>
    <n v="12719.85"/>
    <n v="0.14419999999999999"/>
    <n v="37914.69"/>
    <s v="Net 15"/>
    <s v="M. Alvarez"/>
    <s v="Synthetic sample row shaped by public steel product sales and shipment references"/>
  </r>
  <r>
    <s v="STL-2024-01353"/>
    <x v="319"/>
    <n v="2024"/>
    <x v="3"/>
    <s v="Q2"/>
    <x v="4"/>
    <s v="Malaysia"/>
    <s v="Domestic distributor"/>
    <x v="3"/>
    <s v="Infrastructure"/>
    <x v="0"/>
    <x v="0"/>
    <s v="B500B"/>
    <n v="25.13"/>
    <n v="31"/>
    <n v="5.9"/>
    <n v="88.3"/>
    <n v="704.72"/>
    <n v="62226.78"/>
    <n v="2.52E-2"/>
    <n v="60658.67"/>
    <n v="2264.5500000000002"/>
    <n v="0.26650000000000001"/>
    <n v="16165.54"/>
    <s v="Net 30"/>
    <s v="K. Wilson"/>
    <s v="Synthetic sample row shaped by public steel product sales and shipment references"/>
  </r>
  <r>
    <s v="STL-2024-01356"/>
    <x v="55"/>
    <n v="2024"/>
    <x v="3"/>
    <s v="Q2"/>
    <x v="2"/>
    <s v="UAE"/>
    <s v="Domestic direct"/>
    <x v="5"/>
    <s v="Construction"/>
    <x v="3"/>
    <x v="3"/>
    <s v="EN 10219"/>
    <n v="12.92"/>
    <n v="56"/>
    <n v="5"/>
    <n v="149.91"/>
    <n v="1397.98"/>
    <n v="209571.18"/>
    <n v="4.7100000000000003E-2"/>
    <n v="199700.38"/>
    <n v="6269.8"/>
    <n v="0.20830000000000001"/>
    <n v="41597.589999999997"/>
    <s v="Net 45"/>
    <s v="F. Haddad"/>
    <s v="Synthetic sample row shaped by public steel product sales and shipment references"/>
  </r>
  <r>
    <s v="STL-2024-01357"/>
    <x v="320"/>
    <n v="2024"/>
    <x v="7"/>
    <s v="Q4"/>
    <x v="4"/>
    <s v="Malaysia"/>
    <s v="Export direct"/>
    <x v="3"/>
    <s v="Infrastructure"/>
    <x v="3"/>
    <x v="3"/>
    <s v="ASTM A53"/>
    <n v="4.79"/>
    <n v="473"/>
    <n v="4.4000000000000004"/>
    <n v="230.01"/>
    <n v="1266.51"/>
    <n v="291309.96999999997"/>
    <n v="5.4399999999999997E-2"/>
    <n v="275462.71000000002"/>
    <n v="16669.52"/>
    <n v="0.23400000000000001"/>
    <n v="64458.27"/>
    <s v="Advance"/>
    <s v="A. Mehta"/>
    <s v="Synthetic sample row shaped by public steel product sales and shipment references"/>
  </r>
  <r>
    <s v="STL-2024-01359"/>
    <x v="143"/>
    <n v="2024"/>
    <x v="9"/>
    <s v="Q1"/>
    <x v="0"/>
    <s v="Japan"/>
    <s v="Domestic distributor"/>
    <x v="6"/>
    <s v="Industrial machinery"/>
    <x v="1"/>
    <x v="1"/>
    <s v="JIS SM490"/>
    <n v="30.85"/>
    <n v="2960"/>
    <n v="8.8000000000000007"/>
    <n v="37.15"/>
    <n v="1066.8599999999999"/>
    <n v="39633.85"/>
    <n v="1.9699999999999999E-2"/>
    <n v="38853.06"/>
    <n v="1508.45"/>
    <n v="0.26279999999999998"/>
    <n v="10210.58"/>
    <s v="LC at sight"/>
    <s v="K. Wilson"/>
    <s v="Synthetic sample row shaped by public steel product sales and shipment references"/>
  </r>
  <r>
    <s v="STL-2025-01361"/>
    <x v="321"/>
    <n v="2025"/>
    <x v="8"/>
    <s v="Q1"/>
    <x v="2"/>
    <s v="Qatar"/>
    <s v="Export distributor"/>
    <x v="0"/>
    <s v="Energy"/>
    <x v="2"/>
    <x v="2"/>
    <s v="API P110"/>
    <n v="7.22"/>
    <n v="249"/>
    <n v="4.4000000000000004"/>
    <n v="55.78"/>
    <n v="1453.87"/>
    <n v="81096.87"/>
    <n v="5.9400000000000001E-2"/>
    <n v="76279.72"/>
    <n v="3878.65"/>
    <n v="0.15989999999999999"/>
    <n v="12197.13"/>
    <s v="Net 45"/>
    <s v="K. Wilson"/>
    <s v="Synthetic sample row shaped by public steel product sales and shipment references"/>
  </r>
  <r>
    <s v="STL-2025-01362"/>
    <x v="322"/>
    <n v="2025"/>
    <x v="8"/>
    <s v="Q1"/>
    <x v="0"/>
    <s v="South Korea"/>
    <s v="Export distributor"/>
    <x v="5"/>
    <s v="Shipbuilding"/>
    <x v="1"/>
    <x v="1"/>
    <s v="ASTM A516"/>
    <n v="62.22"/>
    <n v="2743"/>
    <n v="7"/>
    <n v="8.66"/>
    <n v="1084.55"/>
    <n v="9392.2000000000007"/>
    <n v="1.9E-2"/>
    <n v="9213.75"/>
    <n v="473.54"/>
    <n v="0.1532"/>
    <n v="1411.55"/>
    <s v="Net 15"/>
    <s v="M. Alvarez"/>
    <s v="Synthetic sample row shaped by public steel product sales and shipment references"/>
  </r>
  <r>
    <s v="STL-2025-01363"/>
    <x v="323"/>
    <n v="2025"/>
    <x v="10"/>
    <s v="Q3"/>
    <x v="0"/>
    <s v="Japan"/>
    <s v="Export direct"/>
    <x v="1"/>
    <s v="Energy"/>
    <x v="3"/>
    <x v="3"/>
    <s v="JIS G3444"/>
    <n v="4.0199999999999996"/>
    <n v="514"/>
    <n v="3.9"/>
    <n v="19.559999999999999"/>
    <n v="1185.92"/>
    <n v="23196.6"/>
    <n v="3.6900000000000002E-2"/>
    <n v="22340.65"/>
    <n v="1273.06"/>
    <n v="0.1338"/>
    <n v="2989.18"/>
    <s v="Net 45"/>
    <s v="D. Chen"/>
    <s v="Synthetic sample row shaped by public steel product sales and shipment references"/>
  </r>
  <r>
    <s v="STL-2025-01365"/>
    <x v="37"/>
    <n v="2025"/>
    <x v="10"/>
    <s v="Q3"/>
    <x v="2"/>
    <s v="Qatar"/>
    <s v="Export distributor"/>
    <x v="4"/>
    <s v="Industrial machinery"/>
    <x v="1"/>
    <x v="1"/>
    <s v="EN S355"/>
    <n v="74.64"/>
    <n v="1564"/>
    <n v="10.4"/>
    <n v="114.21"/>
    <n v="1315.42"/>
    <n v="150234.12"/>
    <n v="5.8700000000000002E-2"/>
    <n v="141415.38"/>
    <n v="8354.64"/>
    <n v="0.19439999999999999"/>
    <n v="27491.15"/>
    <s v="Net 15"/>
    <s v="A. Mehta"/>
    <s v="Synthetic sample row shaped by public steel product sales and shipment references"/>
  </r>
  <r>
    <s v="STL-2025-01369"/>
    <x v="19"/>
    <n v="2025"/>
    <x v="4"/>
    <s v="Q2"/>
    <x v="3"/>
    <s v="Mexico"/>
    <s v="Export direct"/>
    <x v="4"/>
    <s v="Construction"/>
    <x v="0"/>
    <x v="0"/>
    <s v="BS 4449"/>
    <n v="23.94"/>
    <n v="39"/>
    <n v="6.4"/>
    <n v="127.99"/>
    <n v="791.18"/>
    <n v="101263.13"/>
    <n v="4.1200000000000001E-2"/>
    <n v="97091.09"/>
    <n v="7024.58"/>
    <n v="0.15720000000000001"/>
    <n v="15262.72"/>
    <s v="LC at sight"/>
    <s v="A. Mehta"/>
    <s v="Synthetic sample row shaped by public steel product sales and shipment references"/>
  </r>
  <r>
    <s v="STL-2025-01370"/>
    <x v="324"/>
    <n v="2025"/>
    <x v="10"/>
    <s v="Q3"/>
    <x v="2"/>
    <s v="Qatar"/>
    <s v="Export direct"/>
    <x v="1"/>
    <s v="Energy"/>
    <x v="1"/>
    <x v="1"/>
    <s v="JIS SM490"/>
    <n v="15.76"/>
    <n v="2759"/>
    <n v="10.9"/>
    <n v="121.84"/>
    <n v="1141.49"/>
    <n v="139079.14000000001"/>
    <n v="6.1600000000000002E-2"/>
    <n v="130511.86"/>
    <n v="10810.87"/>
    <n v="0.14449999999999999"/>
    <n v="18858.96"/>
    <s v="LC at sight"/>
    <s v="M. Alvarez"/>
    <s v="Synthetic sample row shaped by public steel product sales and shipment references"/>
  </r>
  <r>
    <s v="STL-2024-01371"/>
    <x v="200"/>
    <n v="2024"/>
    <x v="4"/>
    <s v="Q2"/>
    <x v="5"/>
    <s v="Sri Lanka"/>
    <s v="Domestic distributor"/>
    <x v="4"/>
    <s v="Industrial machinery"/>
    <x v="1"/>
    <x v="1"/>
    <s v="ASTM A516"/>
    <n v="71.11"/>
    <n v="1325"/>
    <n v="5.7"/>
    <n v="58.05"/>
    <n v="1147.1199999999999"/>
    <n v="66590.320000000007"/>
    <n v="5.2299999999999999E-2"/>
    <n v="63107.65"/>
    <n v="1824.84"/>
    <n v="0.25509999999999999"/>
    <n v="16098.76"/>
    <s v="Net 15"/>
    <s v="S. Kapoor"/>
    <s v="Synthetic sample row shaped by public steel product sales and shipment references"/>
  </r>
  <r>
    <s v="STL-2024-01381"/>
    <x v="46"/>
    <n v="2024"/>
    <x v="0"/>
    <s v="Q3"/>
    <x v="1"/>
    <s v="Italy"/>
    <s v="Domestic direct"/>
    <x v="6"/>
    <s v="Infrastructure"/>
    <x v="3"/>
    <x v="3"/>
    <s v="API 5L"/>
    <n v="5.67"/>
    <n v="105"/>
    <n v="5.0999999999999996"/>
    <n v="110.85"/>
    <n v="1126.3699999999999"/>
    <n v="124858.11"/>
    <n v="5.5E-2"/>
    <n v="117990.91"/>
    <n v="3177.08"/>
    <n v="0.2462"/>
    <n v="29049.360000000001"/>
    <s v="Net 15"/>
    <s v="F. Haddad"/>
    <s v="Synthetic sample row shaped by public steel product sales and shipment references"/>
  </r>
  <r>
    <s v="STL-2024-01382"/>
    <x v="325"/>
    <n v="2024"/>
    <x v="0"/>
    <s v="Q3"/>
    <x v="3"/>
    <s v="United States"/>
    <s v="Export distributor"/>
    <x v="6"/>
    <s v="Energy"/>
    <x v="1"/>
    <x v="1"/>
    <s v="EN S355"/>
    <n v="7.29"/>
    <n v="1543"/>
    <n v="5.4"/>
    <n v="9.33"/>
    <n v="1148.8"/>
    <n v="10718.3"/>
    <n v="4.3799999999999999E-2"/>
    <n v="10248.84"/>
    <n v="681.48"/>
    <n v="0.15090000000000001"/>
    <n v="1546.55"/>
    <s v="Net 15"/>
    <s v="A. Mehta"/>
    <s v="Synthetic sample row shaped by public steel product sales and shipment references"/>
  </r>
  <r>
    <s v="STL-2024-01384"/>
    <x v="137"/>
    <n v="2024"/>
    <x v="2"/>
    <s v="Q1"/>
    <x v="5"/>
    <s v="India"/>
    <s v="Domestic distributor"/>
    <x v="5"/>
    <s v="Infrastructure"/>
    <x v="0"/>
    <x v="0"/>
    <s v="B500B"/>
    <n v="12.98"/>
    <n v="24"/>
    <n v="5"/>
    <n v="469.49"/>
    <n v="671.8"/>
    <n v="315403.38"/>
    <n v="2.9700000000000001E-2"/>
    <n v="306035.90000000002"/>
    <n v="19639.63"/>
    <n v="0.1812"/>
    <n v="55453.71"/>
    <s v="Net 45"/>
    <s v="M. Alvarez"/>
    <s v="Synthetic sample row shaped by public steel product sales and shipment references"/>
  </r>
  <r>
    <s v="STL-2024-01389"/>
    <x v="265"/>
    <n v="2024"/>
    <x v="6"/>
    <s v="Q3"/>
    <x v="6"/>
    <s v="Kenya"/>
    <s v="Export direct"/>
    <x v="4"/>
    <s v="Energy"/>
    <x v="2"/>
    <x v="2"/>
    <s v="API N80"/>
    <n v="17.84"/>
    <n v="338"/>
    <n v="11.4"/>
    <n v="232.75"/>
    <n v="1423.58"/>
    <n v="331338.23999999999"/>
    <n v="5.8000000000000003E-2"/>
    <n v="312120.62"/>
    <n v="12633.77"/>
    <n v="0.28470000000000001"/>
    <n v="88860.74"/>
    <s v="Net 30"/>
    <s v="N. Sharma"/>
    <s v="Synthetic sample row shaped by public steel product sales and shipment references"/>
  </r>
  <r>
    <s v="STL-2025-01391"/>
    <x v="326"/>
    <n v="2025"/>
    <x v="4"/>
    <s v="Q2"/>
    <x v="0"/>
    <s v="Taiwan"/>
    <s v="Domestic direct"/>
    <x v="4"/>
    <s v="Infrastructure"/>
    <x v="3"/>
    <x v="3"/>
    <s v="API 5L"/>
    <n v="7.05"/>
    <n v="254"/>
    <n v="11.8"/>
    <n v="204.68"/>
    <n v="1287.8"/>
    <n v="263586.90000000002"/>
    <n v="1.2999999999999999E-2"/>
    <n v="260160.27"/>
    <n v="7002.32"/>
    <n v="0.21679999999999999"/>
    <n v="56402.75"/>
    <s v="Net 15"/>
    <s v="M. Alvarez"/>
    <s v="Synthetic sample row shaped by public steel product sales and shipment references"/>
  </r>
  <r>
    <s v="STL-2024-01392"/>
    <x v="327"/>
    <n v="2024"/>
    <x v="9"/>
    <s v="Q1"/>
    <x v="1"/>
    <s v="Poland"/>
    <s v="Domestic direct"/>
    <x v="0"/>
    <s v="Construction"/>
    <x v="0"/>
    <x v="0"/>
    <s v="BS 4449"/>
    <n v="32.22"/>
    <n v="20"/>
    <n v="8.1999999999999993"/>
    <n v="106.35"/>
    <n v="702.18"/>
    <n v="74676.84"/>
    <n v="2.5899999999999999E-2"/>
    <n v="72742.710000000006"/>
    <n v="3084.01"/>
    <n v="0.15740000000000001"/>
    <n v="11449.7"/>
    <s v="Advance"/>
    <s v="M. Alvarez"/>
    <s v="Synthetic sample row shaped by public steel product sales and shipment references"/>
  </r>
  <r>
    <s v="STL-2025-01395"/>
    <x v="328"/>
    <n v="2025"/>
    <x v="7"/>
    <s v="Q4"/>
    <x v="1"/>
    <s v="Spain"/>
    <s v="Domestic direct"/>
    <x v="5"/>
    <s v="Construction"/>
    <x v="3"/>
    <x v="3"/>
    <s v="JIS G3444"/>
    <n v="14.71"/>
    <n v="578"/>
    <n v="11.8"/>
    <n v="168.87"/>
    <n v="1140.51"/>
    <n v="192597.92"/>
    <n v="3.9300000000000002E-2"/>
    <n v="185028.82"/>
    <n v="4060.58"/>
    <n v="0.24429999999999999"/>
    <n v="45202.54"/>
    <s v="Net 30"/>
    <s v="D. Chen"/>
    <s v="Synthetic sample row shaped by public steel product sales and shipment references"/>
  </r>
  <r>
    <s v="STL-2025-01396"/>
    <x v="329"/>
    <n v="2025"/>
    <x v="8"/>
    <s v="Q1"/>
    <x v="4"/>
    <s v="Thailand"/>
    <s v="Export direct"/>
    <x v="0"/>
    <s v="Energy"/>
    <x v="3"/>
    <x v="3"/>
    <s v="API 5L"/>
    <n v="15.88"/>
    <n v="597"/>
    <n v="4.5"/>
    <n v="108.54"/>
    <n v="1060.29"/>
    <n v="115083.88"/>
    <n v="3.09E-2"/>
    <n v="111527.79"/>
    <n v="6707.32"/>
    <n v="0.1961"/>
    <n v="21870.6"/>
    <s v="Net 30"/>
    <s v="R. Iyer"/>
    <s v="Synthetic sample row shaped by public steel product sales and shipment references"/>
  </r>
  <r>
    <s v="STL-2025-01398"/>
    <x v="101"/>
    <n v="2025"/>
    <x v="6"/>
    <s v="Q3"/>
    <x v="3"/>
    <s v="Mexico"/>
    <s v="Export distributor"/>
    <x v="6"/>
    <s v="Construction"/>
    <x v="3"/>
    <x v="3"/>
    <s v="ASTM A53"/>
    <n v="2.69"/>
    <n v="362"/>
    <n v="8.6999999999999993"/>
    <n v="116.18"/>
    <n v="1096.8900000000001"/>
    <n v="127436.68"/>
    <n v="3.3799999999999997E-2"/>
    <n v="123129.32"/>
    <n v="7559.67"/>
    <n v="0.1762"/>
    <n v="21695.39"/>
    <s v="Net 15"/>
    <s v="F. Haddad"/>
    <s v="Synthetic sample row shaped by public steel product sales and shipment references"/>
  </r>
  <r>
    <s v="STL-2025-01402"/>
    <x v="330"/>
    <n v="2025"/>
    <x v="10"/>
    <s v="Q3"/>
    <x v="1"/>
    <s v="Spain"/>
    <s v="Domestic distributor"/>
    <x v="0"/>
    <s v="Infrastructure"/>
    <x v="3"/>
    <x v="3"/>
    <s v="EN 10219"/>
    <n v="2.93"/>
    <n v="381"/>
    <n v="4"/>
    <n v="61.59"/>
    <n v="1239.79"/>
    <n v="76358.67"/>
    <n v="3.8899999999999997E-2"/>
    <n v="73388.320000000007"/>
    <n v="2210.35"/>
    <n v="0.22720000000000001"/>
    <n v="16673.830000000002"/>
    <s v="Advance"/>
    <s v="M. Alvarez"/>
    <s v="Synthetic sample row shaped by public steel product sales and shipment references"/>
  </r>
  <r>
    <s v="STL-2024-01403"/>
    <x v="331"/>
    <n v="2024"/>
    <x v="7"/>
    <s v="Q4"/>
    <x v="2"/>
    <s v="UAE"/>
    <s v="Export distributor"/>
    <x v="1"/>
    <s v="Energy"/>
    <x v="3"/>
    <x v="3"/>
    <s v="EN 10219"/>
    <n v="7.99"/>
    <n v="167"/>
    <n v="7.5"/>
    <n v="83.81"/>
    <n v="1228.8499999999999"/>
    <n v="102989.92"/>
    <n v="5.1299999999999998E-2"/>
    <n v="97706.54"/>
    <n v="6678.3"/>
    <n v="0.18559999999999999"/>
    <n v="18134.330000000002"/>
    <s v="Advance"/>
    <s v="S. Kapoor"/>
    <s v="Synthetic sample row shaped by public steel product sales and shipment references"/>
  </r>
  <r>
    <s v="STL-2024-01405"/>
    <x v="332"/>
    <n v="2024"/>
    <x v="9"/>
    <s v="Q1"/>
    <x v="2"/>
    <s v="UAE"/>
    <s v="Domestic distributor"/>
    <x v="2"/>
    <s v="Infrastructure"/>
    <x v="3"/>
    <x v="3"/>
    <s v="ASTM A53"/>
    <n v="9.82"/>
    <n v="451"/>
    <n v="10.7"/>
    <n v="81.38"/>
    <n v="1155.04"/>
    <n v="93997.16"/>
    <n v="4.9399999999999999E-2"/>
    <n v="89353.7"/>
    <n v="1541.01"/>
    <n v="0.19070000000000001"/>
    <n v="17039.75"/>
    <s v="LC at sight"/>
    <s v="S. Kapoor"/>
    <s v="Synthetic sample row shaped by public steel product sales and shipment references"/>
  </r>
  <r>
    <s v="STL-2024-01409"/>
    <x v="333"/>
    <n v="2024"/>
    <x v="0"/>
    <s v="Q3"/>
    <x v="1"/>
    <s v="Italy"/>
    <s v="Export direct"/>
    <x v="0"/>
    <s v="Infrastructure"/>
    <x v="3"/>
    <x v="3"/>
    <s v="ASTM A53"/>
    <n v="7.44"/>
    <n v="295"/>
    <n v="5.0999999999999996"/>
    <n v="221.81"/>
    <n v="1188.08"/>
    <n v="263528.02"/>
    <n v="5.2999999999999999E-2"/>
    <n v="249561.03"/>
    <n v="20185.03"/>
    <n v="0.1787"/>
    <n v="44596.56"/>
    <s v="Net 30"/>
    <s v="M. Alvarez"/>
    <s v="Synthetic sample row shaped by public steel product sales and shipment references"/>
  </r>
  <r>
    <s v="STL-2024-01416"/>
    <x v="334"/>
    <n v="2024"/>
    <x v="3"/>
    <s v="Q2"/>
    <x v="1"/>
    <s v="Poland"/>
    <s v="Domestic distributor"/>
    <x v="2"/>
    <s v="Industrial machinery"/>
    <x v="1"/>
    <x v="1"/>
    <s v="EN S355"/>
    <n v="49.86"/>
    <n v="1687"/>
    <n v="7.9"/>
    <n v="102.4"/>
    <n v="1217.1300000000001"/>
    <n v="124634.11"/>
    <n v="3.49E-2"/>
    <n v="120284.38"/>
    <n v="3440.43"/>
    <n v="0.1767"/>
    <n v="21254.25"/>
    <s v="Net 30"/>
    <s v="M. Alvarez"/>
    <s v="Synthetic sample row shaped by public steel product sales and shipment references"/>
  </r>
  <r>
    <s v="STL-2025-01418"/>
    <x v="41"/>
    <n v="2025"/>
    <x v="3"/>
    <s v="Q2"/>
    <x v="2"/>
    <s v="Saudi Arabia"/>
    <s v="Export direct"/>
    <x v="5"/>
    <s v="Energy"/>
    <x v="2"/>
    <x v="2"/>
    <s v="API N80"/>
    <n v="16.760000000000002"/>
    <n v="256"/>
    <n v="7.8"/>
    <n v="142.79"/>
    <n v="1663.64"/>
    <n v="237551.16"/>
    <n v="5.5599999999999997E-2"/>
    <n v="224343.32"/>
    <n v="10367.89"/>
    <n v="0.1784"/>
    <n v="40022.85"/>
    <s v="LC at sight"/>
    <s v="F. Haddad"/>
    <s v="Synthetic sample row shaped by public steel product sales and shipment references"/>
  </r>
  <r>
    <s v="STL-2025-01420"/>
    <x v="335"/>
    <n v="2025"/>
    <x v="5"/>
    <s v="Q4"/>
    <x v="3"/>
    <s v="Canada"/>
    <s v="Domestic distributor"/>
    <x v="3"/>
    <s v="Industrial machinery"/>
    <x v="1"/>
    <x v="1"/>
    <s v="JIS SM490"/>
    <n v="19.989999999999998"/>
    <n v="1995"/>
    <n v="7.6"/>
    <n v="120.79"/>
    <n v="1218.49"/>
    <n v="147181.41"/>
    <n v="2.3599999999999999E-2"/>
    <n v="143707.93"/>
    <n v="3783.67"/>
    <n v="0.26929999999999998"/>
    <n v="38700.550000000003"/>
    <s v="Net 30"/>
    <s v="N. Sharma"/>
    <s v="Synthetic sample row shaped by public steel product sales and shipment references"/>
  </r>
  <r>
    <s v="STL-2025-01426"/>
    <x v="336"/>
    <n v="2025"/>
    <x v="0"/>
    <s v="Q3"/>
    <x v="4"/>
    <s v="Malaysia"/>
    <s v="Domestic direct"/>
    <x v="5"/>
    <s v="Energy"/>
    <x v="2"/>
    <x v="2"/>
    <s v="API P110"/>
    <n v="12.23"/>
    <n v="264"/>
    <n v="12"/>
    <n v="172.48"/>
    <n v="1485.75"/>
    <n v="256262.16"/>
    <n v="5.1999999999999998E-2"/>
    <n v="242936.53"/>
    <n v="5282.81"/>
    <n v="0.21510000000000001"/>
    <n v="52255.65"/>
    <s v="Advance"/>
    <s v="K. Wilson"/>
    <s v="Synthetic sample row shaped by public steel product sales and shipment references"/>
  </r>
  <r>
    <s v="STL-2024-01442"/>
    <x v="65"/>
    <n v="2024"/>
    <x v="0"/>
    <s v="Q3"/>
    <x v="3"/>
    <s v="United States"/>
    <s v="Export direct"/>
    <x v="2"/>
    <s v="Infrastructure"/>
    <x v="3"/>
    <x v="3"/>
    <s v="JIS G3444"/>
    <n v="2.99"/>
    <n v="186"/>
    <n v="11.6"/>
    <n v="196.41"/>
    <n v="1082.75"/>
    <n v="212662.93"/>
    <n v="2.1700000000000001E-2"/>
    <n v="208048.14"/>
    <n v="12522.15"/>
    <n v="0.2351"/>
    <n v="48912.12"/>
    <s v="Net 30"/>
    <s v="K. Wilson"/>
    <s v="Synthetic sample row shaped by public steel product sales and shipment references"/>
  </r>
  <r>
    <s v="STL-2024-01449"/>
    <x v="35"/>
    <n v="2024"/>
    <x v="1"/>
    <s v="Q2"/>
    <x v="5"/>
    <s v="Bangladesh"/>
    <s v="Domestic distributor"/>
    <x v="0"/>
    <s v="Infrastructure"/>
    <x v="3"/>
    <x v="3"/>
    <s v="JIS G3444"/>
    <n v="4.59"/>
    <n v="211"/>
    <n v="3.1"/>
    <n v="60.46"/>
    <n v="1204.04"/>
    <n v="72796.259999999995"/>
    <n v="1.5299999999999999E-2"/>
    <n v="71682.48"/>
    <n v="1353.89"/>
    <n v="0.1391"/>
    <n v="9971.0300000000007"/>
    <s v="Advance"/>
    <s v="K. Wilson"/>
    <s v="Synthetic sample row shaped by public steel product sales and shipment references"/>
  </r>
  <r>
    <s v="STL-2025-01452"/>
    <x v="337"/>
    <n v="2025"/>
    <x v="11"/>
    <s v="Q4"/>
    <x v="0"/>
    <s v="Japan"/>
    <s v="Export direct"/>
    <x v="6"/>
    <s v="Shipbuilding"/>
    <x v="1"/>
    <x v="1"/>
    <s v="ASTM A516"/>
    <n v="47.39"/>
    <n v="3018"/>
    <n v="4.2"/>
    <n v="147.13999999999999"/>
    <n v="1113.79"/>
    <n v="163883.06"/>
    <n v="6.0699999999999997E-2"/>
    <n v="153935.35999999999"/>
    <n v="11461.24"/>
    <n v="0.2349"/>
    <n v="36159.42"/>
    <s v="Net 45"/>
    <s v="K. Wilson"/>
    <s v="Synthetic sample row shaped by public steel product sales and shipment references"/>
  </r>
  <r>
    <s v="STL-2025-01453"/>
    <x v="338"/>
    <n v="2025"/>
    <x v="6"/>
    <s v="Q3"/>
    <x v="0"/>
    <s v="Japan"/>
    <s v="Export distributor"/>
    <x v="5"/>
    <s v="Industrial machinery"/>
    <x v="1"/>
    <x v="1"/>
    <s v="ASTM A572"/>
    <n v="69"/>
    <n v="2161"/>
    <n v="4"/>
    <n v="32.549999999999997"/>
    <n v="1130.3499999999999"/>
    <n v="36792.89"/>
    <n v="3.6700000000000003E-2"/>
    <n v="35442.589999999997"/>
    <n v="2808.93"/>
    <n v="0.16200000000000001"/>
    <n v="5741.7"/>
    <s v="Net 30"/>
    <s v="D. Chen"/>
    <s v="Synthetic sample row shaped by public steel product sales and shipment references"/>
  </r>
  <r>
    <s v="STL-2024-01455"/>
    <x v="339"/>
    <n v="2024"/>
    <x v="0"/>
    <s v="Q3"/>
    <x v="6"/>
    <s v="South Africa"/>
    <s v="Domestic direct"/>
    <x v="6"/>
    <s v="Infrastructure"/>
    <x v="0"/>
    <x v="0"/>
    <s v="ASTM A615"/>
    <n v="18.88"/>
    <n v="18"/>
    <n v="5.8"/>
    <n v="243.95"/>
    <n v="674.59"/>
    <n v="164566.23000000001"/>
    <n v="2.9100000000000001E-2"/>
    <n v="159777.35"/>
    <n v="5316.78"/>
    <n v="0.18790000000000001"/>
    <n v="30022.16"/>
    <s v="Net 15"/>
    <s v="S. Kapoor"/>
    <s v="Synthetic sample row shaped by public steel product sales and shipment references"/>
  </r>
  <r>
    <s v="STL-2024-01460"/>
    <x v="279"/>
    <n v="2024"/>
    <x v="3"/>
    <s v="Q2"/>
    <x v="6"/>
    <s v="South Africa"/>
    <s v="Domestic direct"/>
    <x v="3"/>
    <s v="Shipbuilding"/>
    <x v="1"/>
    <x v="1"/>
    <s v="JIS SM490"/>
    <n v="11.41"/>
    <n v="1424"/>
    <n v="3.7"/>
    <n v="106.48"/>
    <n v="980.01"/>
    <n v="104351.46"/>
    <n v="5.1299999999999998E-2"/>
    <n v="98998.23"/>
    <n v="2001.34"/>
    <n v="0.2092"/>
    <n v="20710.43"/>
    <s v="Net 15"/>
    <s v="S. Kapoor"/>
    <s v="Synthetic sample row shaped by public steel product sales and shipment references"/>
  </r>
  <r>
    <s v="STL-2024-01461"/>
    <x v="340"/>
    <n v="2024"/>
    <x v="11"/>
    <s v="Q4"/>
    <x v="3"/>
    <s v="Mexico"/>
    <s v="Export distributor"/>
    <x v="5"/>
    <s v="Construction"/>
    <x v="3"/>
    <x v="3"/>
    <s v="EN 10219"/>
    <n v="15.57"/>
    <n v="247"/>
    <n v="3.1"/>
    <n v="38.36"/>
    <n v="1230.56"/>
    <n v="47204.28"/>
    <n v="2.3800000000000002E-2"/>
    <n v="46080.82"/>
    <n v="3205.64"/>
    <n v="0.20369999999999999"/>
    <n v="9386.66"/>
    <s v="Net 30"/>
    <s v="F. Haddad"/>
    <s v="Synthetic sample row shaped by public steel product sales and shipment references"/>
  </r>
  <r>
    <s v="STL-2025-01462"/>
    <x v="88"/>
    <n v="2025"/>
    <x v="3"/>
    <s v="Q2"/>
    <x v="0"/>
    <s v="Taiwan"/>
    <s v="Domestic distributor"/>
    <x v="6"/>
    <s v="Energy"/>
    <x v="3"/>
    <x v="3"/>
    <s v="EN 10219"/>
    <n v="3.35"/>
    <n v="108"/>
    <n v="4.2"/>
    <n v="128.16999999999999"/>
    <n v="1283.6099999999999"/>
    <n v="164520.29"/>
    <n v="5.5500000000000001E-2"/>
    <n v="155389.41"/>
    <n v="2830.75"/>
    <n v="0.17030000000000001"/>
    <n v="26462.82"/>
    <s v="Advance"/>
    <s v="R. Iyer"/>
    <s v="Synthetic sample row shaped by public steel product sales and shipment references"/>
  </r>
  <r>
    <s v="STL-2024-01463"/>
    <x v="241"/>
    <n v="2024"/>
    <x v="11"/>
    <s v="Q4"/>
    <x v="6"/>
    <s v="Egypt"/>
    <s v="Domestic distributor"/>
    <x v="4"/>
    <s v="Energy"/>
    <x v="1"/>
    <x v="1"/>
    <s v="ASTM A572"/>
    <n v="40.67"/>
    <n v="2983"/>
    <n v="3.8"/>
    <n v="89.59"/>
    <n v="1115.8499999999999"/>
    <n v="99969"/>
    <n v="3.3799999999999997E-2"/>
    <n v="96590.05"/>
    <n v="2946.03"/>
    <n v="0.19439999999999999"/>
    <n v="18777.11"/>
    <s v="Net 15"/>
    <s v="S. Kapoor"/>
    <s v="Synthetic sample row shaped by public steel product sales and shipment references"/>
  </r>
  <r>
    <s v="STL-2024-01465"/>
    <x v="341"/>
    <n v="2024"/>
    <x v="4"/>
    <s v="Q2"/>
    <x v="5"/>
    <s v="Bangladesh"/>
    <s v="Export direct"/>
    <x v="6"/>
    <s v="Construction"/>
    <x v="0"/>
    <x v="0"/>
    <s v="IS 1786"/>
    <n v="36.479999999999997"/>
    <n v="17"/>
    <n v="5.3"/>
    <n v="50.4"/>
    <n v="703.31"/>
    <n v="35446.82"/>
    <n v="2.1100000000000001E-2"/>
    <n v="34698.89"/>
    <n v="2890.44"/>
    <n v="0.25380000000000003"/>
    <n v="8806.58"/>
    <s v="Net 30"/>
    <s v="A. Mehta"/>
    <s v="Synthetic sample row shaped by public steel product sales and shipment references"/>
  </r>
  <r>
    <s v="STL-2024-01466"/>
    <x v="342"/>
    <n v="2024"/>
    <x v="6"/>
    <s v="Q3"/>
    <x v="0"/>
    <s v="South Korea"/>
    <s v="Domestic direct"/>
    <x v="5"/>
    <s v="Construction"/>
    <x v="3"/>
    <x v="3"/>
    <s v="EN 10219"/>
    <n v="5.19"/>
    <n v="222"/>
    <n v="6.4"/>
    <n v="177.98"/>
    <n v="1216.18"/>
    <n v="216455.72"/>
    <n v="2.9499999999999998E-2"/>
    <n v="210070.28"/>
    <n v="3881.93"/>
    <n v="0.252"/>
    <n v="52937.71"/>
    <s v="LC at sight"/>
    <s v="S. Kapoor"/>
    <s v="Synthetic sample row shaped by public steel product sales and shipment references"/>
  </r>
  <r>
    <s v="STL-2025-01468"/>
    <x v="314"/>
    <n v="2025"/>
    <x v="2"/>
    <s v="Q1"/>
    <x v="3"/>
    <s v="United States"/>
    <s v="Export distributor"/>
    <x v="7"/>
    <s v="Energy"/>
    <x v="1"/>
    <x v="1"/>
    <s v="JIS SM490"/>
    <n v="16.71"/>
    <n v="3009"/>
    <n v="9"/>
    <n v="195.24"/>
    <n v="1202.51"/>
    <n v="234778.05"/>
    <n v="2.06E-2"/>
    <n v="229941.62"/>
    <n v="18785.900000000001"/>
    <n v="0.154"/>
    <n v="35411.01"/>
    <s v="Net 15"/>
    <s v="A. Mehta"/>
    <s v="Synthetic sample row shaped by public steel product sales and shipment references"/>
  </r>
  <r>
    <s v="STL-2025-01472"/>
    <x v="343"/>
    <n v="2025"/>
    <x v="8"/>
    <s v="Q1"/>
    <x v="5"/>
    <s v="Sri Lanka"/>
    <s v="Domestic direct"/>
    <x v="1"/>
    <s v="Construction"/>
    <x v="3"/>
    <x v="3"/>
    <s v="EN 10219"/>
    <n v="15.3"/>
    <n v="88"/>
    <n v="5"/>
    <n v="195.23"/>
    <n v="1042.71"/>
    <n v="203568.27"/>
    <n v="1.95E-2"/>
    <n v="199598.69"/>
    <n v="4158.87"/>
    <n v="0.18010000000000001"/>
    <n v="35947.72"/>
    <s v="Advance"/>
    <s v="N. Sharma"/>
    <s v="Synthetic sample row shaped by public steel product sales and shipment references"/>
  </r>
  <r>
    <s v="STL-2024-01473"/>
    <x v="344"/>
    <n v="2024"/>
    <x v="3"/>
    <s v="Q2"/>
    <x v="1"/>
    <s v="Spain"/>
    <s v="Domestic distributor"/>
    <x v="6"/>
    <s v="Infrastructure"/>
    <x v="0"/>
    <x v="0"/>
    <s v="B500B"/>
    <n v="20.77"/>
    <n v="33"/>
    <n v="7.7"/>
    <n v="215.03"/>
    <n v="797.59"/>
    <n v="171505.78"/>
    <n v="5.0099999999999999E-2"/>
    <n v="162913.34"/>
    <n v="7519.8"/>
    <n v="0.13139999999999999"/>
    <n v="21406.81"/>
    <s v="Advance"/>
    <s v="A. Mehta"/>
    <s v="Synthetic sample row shaped by public steel product sales and shipment references"/>
  </r>
  <r>
    <s v="STL-2024-01474"/>
    <x v="345"/>
    <n v="2024"/>
    <x v="9"/>
    <s v="Q1"/>
    <x v="2"/>
    <s v="Qatar"/>
    <s v="Export distributor"/>
    <x v="3"/>
    <s v="Energy"/>
    <x v="2"/>
    <x v="2"/>
    <s v="API L80"/>
    <n v="6.3"/>
    <n v="173"/>
    <n v="6.4"/>
    <n v="155.24"/>
    <n v="1709.9"/>
    <n v="265444.88"/>
    <n v="5.45E-2"/>
    <n v="250978.13"/>
    <n v="8976.14"/>
    <n v="0.21049999999999999"/>
    <n v="52830.9"/>
    <s v="LC at sight"/>
    <s v="N. Sharma"/>
    <s v="Synthetic sample row shaped by public steel product sales and shipment references"/>
  </r>
  <r>
    <s v="STL-2025-01475"/>
    <x v="346"/>
    <n v="2025"/>
    <x v="10"/>
    <s v="Q3"/>
    <x v="6"/>
    <s v="Egypt"/>
    <s v="Domestic distributor"/>
    <x v="4"/>
    <s v="Construction"/>
    <x v="3"/>
    <x v="3"/>
    <s v="API 5L"/>
    <n v="12.62"/>
    <n v="192"/>
    <n v="7.4"/>
    <n v="5.52"/>
    <n v="1164.4000000000001"/>
    <n v="6427.49"/>
    <n v="5.4699999999999999E-2"/>
    <n v="6075.91"/>
    <n v="185.63"/>
    <n v="0.15870000000000001"/>
    <n v="964.25"/>
    <s v="Net 30"/>
    <s v="D. Chen"/>
    <s v="Synthetic sample row shaped by public steel product sales and shipment references"/>
  </r>
  <r>
    <s v="STL-2025-01485"/>
    <x v="347"/>
    <n v="2025"/>
    <x v="10"/>
    <s v="Q3"/>
    <x v="0"/>
    <s v="South Korea"/>
    <s v="Domestic direct"/>
    <x v="7"/>
    <s v="Infrastructure"/>
    <x v="0"/>
    <x v="0"/>
    <s v="B500B"/>
    <n v="36.22"/>
    <n v="35"/>
    <n v="7.8"/>
    <n v="36.04"/>
    <n v="794.25"/>
    <n v="28624.77"/>
    <n v="1.7399999999999999E-2"/>
    <n v="28126.7"/>
    <n v="965.45"/>
    <n v="0.1905"/>
    <n v="5358.14"/>
    <s v="Net 30"/>
    <s v="S. Kapoor"/>
    <s v="Synthetic sample row shaped by public steel product sales and shipment references"/>
  </r>
  <r>
    <s v="STL-2025-01486"/>
    <x v="107"/>
    <n v="2025"/>
    <x v="0"/>
    <s v="Q3"/>
    <x v="2"/>
    <s v="Saudi Arabia"/>
    <s v="Export distributor"/>
    <x v="5"/>
    <s v="Energy"/>
    <x v="2"/>
    <x v="2"/>
    <s v="API J55"/>
    <n v="13.74"/>
    <n v="237"/>
    <n v="9.3000000000000007"/>
    <n v="101.4"/>
    <n v="1467.33"/>
    <n v="148787.26"/>
    <n v="5.8799999999999998E-2"/>
    <n v="140038.57"/>
    <n v="8448.94"/>
    <n v="0.1343"/>
    <n v="18807.18"/>
    <s v="LC at sight"/>
    <s v="D. Chen"/>
    <s v="Synthetic sample row shaped by public steel product sales and shipment references"/>
  </r>
  <r>
    <s v="STL-2024-01487"/>
    <x v="140"/>
    <n v="2024"/>
    <x v="6"/>
    <s v="Q3"/>
    <x v="2"/>
    <s v="Qatar"/>
    <s v="Domestic direct"/>
    <x v="3"/>
    <s v="Infrastructure"/>
    <x v="0"/>
    <x v="0"/>
    <s v="ASTM A615"/>
    <n v="20.89"/>
    <n v="8"/>
    <n v="11.4"/>
    <n v="536.71"/>
    <n v="717.7"/>
    <n v="385196.77"/>
    <n v="4.9700000000000001E-2"/>
    <n v="366052.49"/>
    <n v="15629.95"/>
    <n v="0.24970000000000001"/>
    <n v="91403.31"/>
    <s v="Net 45"/>
    <s v="F. Haddad"/>
    <s v="Synthetic sample row shaped by public steel product sales and shipment references"/>
  </r>
  <r>
    <s v="STL-2024-01488"/>
    <x v="348"/>
    <n v="2024"/>
    <x v="8"/>
    <s v="Q1"/>
    <x v="5"/>
    <s v="Sri Lanka"/>
    <s v="Domestic distributor"/>
    <x v="0"/>
    <s v="Infrastructure"/>
    <x v="3"/>
    <x v="3"/>
    <s v="EN 10219"/>
    <n v="2.2400000000000002"/>
    <n v="346"/>
    <n v="4.9000000000000004"/>
    <n v="93.22"/>
    <n v="965.93"/>
    <n v="90043.99"/>
    <n v="2.93E-2"/>
    <n v="87405.7"/>
    <n v="3398.38"/>
    <n v="0.1212"/>
    <n v="10593.57"/>
    <s v="LC at sight"/>
    <s v="K. Wilson"/>
    <s v="Synthetic sample row shaped by public steel product sales and shipment references"/>
  </r>
  <r>
    <s v="STL-2025-01489"/>
    <x v="156"/>
    <n v="2025"/>
    <x v="11"/>
    <s v="Q4"/>
    <x v="5"/>
    <s v="Bangladesh"/>
    <s v="Export distributor"/>
    <x v="6"/>
    <s v="Infrastructure"/>
    <x v="3"/>
    <x v="3"/>
    <s v="EN 10219"/>
    <n v="3.79"/>
    <n v="75"/>
    <n v="3.8"/>
    <n v="194.59"/>
    <n v="1215.3"/>
    <n v="236485.23"/>
    <n v="4.0399999999999998E-2"/>
    <n v="226931.23"/>
    <n v="17391.41"/>
    <n v="0.20219999999999999"/>
    <n v="45885.49"/>
    <s v="Net 45"/>
    <s v="M. Alvarez"/>
    <s v="Synthetic sample row shaped by public steel product sales and shipment references"/>
  </r>
  <r>
    <s v="STL-2025-01492"/>
    <x v="326"/>
    <n v="2025"/>
    <x v="4"/>
    <s v="Q2"/>
    <x v="1"/>
    <s v="Spain"/>
    <s v="Domestic distributor"/>
    <x v="1"/>
    <s v="Industrial machinery"/>
    <x v="1"/>
    <x v="1"/>
    <s v="EN S355"/>
    <n v="40.270000000000003"/>
    <n v="2933"/>
    <n v="11.1"/>
    <n v="73.260000000000005"/>
    <n v="1250.57"/>
    <n v="91616.76"/>
    <n v="2.5700000000000001E-2"/>
    <n v="89262.21"/>
    <n v="2131.44"/>
    <n v="0.1714"/>
    <n v="15299.54"/>
    <s v="Net 15"/>
    <s v="N. Sharma"/>
    <s v="Synthetic sample row shaped by public steel product sales and shipment references"/>
  </r>
  <r>
    <s v="STL-2024-01495"/>
    <x v="349"/>
    <n v="2024"/>
    <x v="0"/>
    <s v="Q3"/>
    <x v="2"/>
    <s v="Qatar"/>
    <s v="Export direct"/>
    <x v="7"/>
    <s v="Energy"/>
    <x v="1"/>
    <x v="1"/>
    <s v="ASTM A516"/>
    <n v="12.72"/>
    <n v="2949"/>
    <n v="6.8"/>
    <n v="8.4499999999999993"/>
    <n v="1077.93"/>
    <n v="9108.51"/>
    <n v="4.41E-2"/>
    <n v="8706.82"/>
    <n v="694.49"/>
    <n v="0.1671"/>
    <n v="1454.91"/>
    <s v="Net 30"/>
    <s v="F. Haddad"/>
    <s v="Synthetic sample row shaped by public steel product sales and shipment references"/>
  </r>
  <r>
    <s v="STL-2025-01496"/>
    <x v="350"/>
    <n v="2025"/>
    <x v="0"/>
    <s v="Q3"/>
    <x v="3"/>
    <s v="Canada"/>
    <s v="Export direct"/>
    <x v="7"/>
    <s v="Energy"/>
    <x v="3"/>
    <x v="3"/>
    <s v="JIS G3444"/>
    <n v="3.19"/>
    <n v="563"/>
    <n v="5.0999999999999996"/>
    <n v="225.56"/>
    <n v="1138.47"/>
    <n v="256793.29"/>
    <n v="2.18E-2"/>
    <n v="251195.2"/>
    <n v="18889.849999999999"/>
    <n v="0.24809999999999999"/>
    <n v="62321.53"/>
    <s v="LC at sight"/>
    <s v="N. Sharma"/>
    <s v="Synthetic sample row shaped by public steel product sales and shipment referenc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1EF48-20C4-49A3-97C1-EC9B14DC4118}" name="RevenueByProductFamily" cacheId="1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E16" firstHeaderRow="1" firstDataRow="1" firstDataCol="4"/>
  <pivotFields count="30">
    <pivotField compact="0" outline="0" showAll="0"/>
    <pivotField compact="0" numFmtId="164" outline="0" showAll="0">
      <items count="352">
        <item x="73"/>
        <item x="103"/>
        <item x="277"/>
        <item x="332"/>
        <item x="22"/>
        <item x="318"/>
        <item x="345"/>
        <item x="53"/>
        <item x="327"/>
        <item x="48"/>
        <item x="82"/>
        <item x="240"/>
        <item x="143"/>
        <item x="17"/>
        <item x="260"/>
        <item x="278"/>
        <item x="62"/>
        <item x="9"/>
        <item x="261"/>
        <item x="13"/>
        <item x="302"/>
        <item x="269"/>
        <item x="205"/>
        <item x="348"/>
        <item x="70"/>
        <item x="11"/>
        <item x="117"/>
        <item x="98"/>
        <item x="190"/>
        <item x="309"/>
        <item x="2"/>
        <item x="137"/>
        <item x="286"/>
        <item x="250"/>
        <item x="93"/>
        <item x="276"/>
        <item x="267"/>
        <item x="202"/>
        <item x="51"/>
        <item x="40"/>
        <item x="136"/>
        <item x="259"/>
        <item x="172"/>
        <item x="222"/>
        <item x="219"/>
        <item x="36"/>
        <item x="25"/>
        <item x="235"/>
        <item x="35"/>
        <item x="256"/>
        <item x="238"/>
        <item x="30"/>
        <item x="74"/>
        <item x="203"/>
        <item x="212"/>
        <item x="167"/>
        <item x="1"/>
        <item x="50"/>
        <item x="279"/>
        <item x="45"/>
        <item x="283"/>
        <item x="334"/>
        <item x="120"/>
        <item x="129"/>
        <item x="110"/>
        <item x="92"/>
        <item x="76"/>
        <item x="299"/>
        <item x="177"/>
        <item x="111"/>
        <item x="344"/>
        <item x="179"/>
        <item x="55"/>
        <item x="319"/>
        <item x="208"/>
        <item x="311"/>
        <item x="123"/>
        <item x="99"/>
        <item x="247"/>
        <item x="166"/>
        <item x="275"/>
        <item x="10"/>
        <item x="118"/>
        <item x="224"/>
        <item x="341"/>
        <item x="185"/>
        <item x="200"/>
        <item x="164"/>
        <item x="113"/>
        <item x="141"/>
        <item x="67"/>
        <item x="342"/>
        <item x="265"/>
        <item x="246"/>
        <item x="305"/>
        <item x="6"/>
        <item x="7"/>
        <item x="232"/>
        <item x="140"/>
        <item x="257"/>
        <item x="31"/>
        <item x="227"/>
        <item x="16"/>
        <item x="29"/>
        <item x="210"/>
        <item x="209"/>
        <item x="201"/>
        <item x="84"/>
        <item x="68"/>
        <item x="153"/>
        <item x="86"/>
        <item x="104"/>
        <item x="180"/>
        <item x="61"/>
        <item x="184"/>
        <item x="65"/>
        <item x="79"/>
        <item x="290"/>
        <item x="264"/>
        <item x="139"/>
        <item x="151"/>
        <item x="182"/>
        <item x="46"/>
        <item x="178"/>
        <item x="325"/>
        <item x="333"/>
        <item x="165"/>
        <item x="297"/>
        <item x="296"/>
        <item x="349"/>
        <item x="114"/>
        <item x="339"/>
        <item x="8"/>
        <item x="14"/>
        <item x="206"/>
        <item x="97"/>
        <item x="112"/>
        <item x="128"/>
        <item x="69"/>
        <item x="225"/>
        <item x="320"/>
        <item x="161"/>
        <item x="158"/>
        <item x="253"/>
        <item x="119"/>
        <item x="331"/>
        <item x="64"/>
        <item x="251"/>
        <item x="271"/>
        <item x="239"/>
        <item x="131"/>
        <item x="121"/>
        <item x="217"/>
        <item x="168"/>
        <item x="340"/>
        <item x="170"/>
        <item x="133"/>
        <item x="18"/>
        <item x="293"/>
        <item x="85"/>
        <item x="241"/>
        <item x="258"/>
        <item x="176"/>
        <item x="149"/>
        <item x="215"/>
        <item x="78"/>
        <item x="237"/>
        <item x="301"/>
        <item x="313"/>
        <item x="159"/>
        <item x="91"/>
        <item x="231"/>
        <item x="175"/>
        <item x="43"/>
        <item x="15"/>
        <item x="199"/>
        <item x="81"/>
        <item x="148"/>
        <item x="39"/>
        <item x="291"/>
        <item x="211"/>
        <item x="189"/>
        <item x="234"/>
        <item x="116"/>
        <item x="60"/>
        <item x="56"/>
        <item x="306"/>
        <item x="321"/>
        <item x="289"/>
        <item x="322"/>
        <item x="183"/>
        <item x="28"/>
        <item x="343"/>
        <item x="130"/>
        <item x="329"/>
        <item x="21"/>
        <item x="316"/>
        <item x="295"/>
        <item x="132"/>
        <item x="248"/>
        <item x="124"/>
        <item x="214"/>
        <item x="162"/>
        <item x="317"/>
        <item x="154"/>
        <item x="44"/>
        <item x="90"/>
        <item x="230"/>
        <item x="115"/>
        <item x="216"/>
        <item x="236"/>
        <item x="254"/>
        <item x="312"/>
        <item x="197"/>
        <item x="186"/>
        <item x="263"/>
        <item x="314"/>
        <item x="135"/>
        <item x="198"/>
        <item x="127"/>
        <item x="155"/>
        <item x="12"/>
        <item x="20"/>
        <item x="270"/>
        <item x="294"/>
        <item x="281"/>
        <item x="146"/>
        <item x="292"/>
        <item x="310"/>
        <item x="213"/>
        <item x="23"/>
        <item x="233"/>
        <item x="243"/>
        <item x="52"/>
        <item x="268"/>
        <item x="245"/>
        <item x="66"/>
        <item x="181"/>
        <item x="169"/>
        <item x="220"/>
        <item x="3"/>
        <item x="88"/>
        <item x="244"/>
        <item x="41"/>
        <item x="83"/>
        <item x="58"/>
        <item x="218"/>
        <item x="57"/>
        <item x="47"/>
        <item x="4"/>
        <item x="87"/>
        <item x="194"/>
        <item x="326"/>
        <item x="273"/>
        <item x="102"/>
        <item x="287"/>
        <item x="280"/>
        <item x="307"/>
        <item x="19"/>
        <item x="125"/>
        <item x="126"/>
        <item x="229"/>
        <item x="59"/>
        <item x="204"/>
        <item x="24"/>
        <item x="298"/>
        <item x="101"/>
        <item x="94"/>
        <item x="272"/>
        <item x="228"/>
        <item x="285"/>
        <item x="157"/>
        <item x="226"/>
        <item x="338"/>
        <item x="147"/>
        <item x="106"/>
        <item x="196"/>
        <item x="274"/>
        <item x="242"/>
        <item x="75"/>
        <item x="324"/>
        <item x="347"/>
        <item x="221"/>
        <item x="37"/>
        <item x="95"/>
        <item x="323"/>
        <item x="77"/>
        <item x="173"/>
        <item x="108"/>
        <item x="171"/>
        <item x="187"/>
        <item x="346"/>
        <item x="33"/>
        <item x="42"/>
        <item x="330"/>
        <item x="138"/>
        <item x="304"/>
        <item x="107"/>
        <item x="336"/>
        <item x="96"/>
        <item x="350"/>
        <item x="89"/>
        <item x="160"/>
        <item x="27"/>
        <item x="145"/>
        <item x="284"/>
        <item x="191"/>
        <item x="38"/>
        <item x="105"/>
        <item x="0"/>
        <item x="207"/>
        <item x="71"/>
        <item x="174"/>
        <item x="49"/>
        <item x="63"/>
        <item x="134"/>
        <item x="152"/>
        <item x="315"/>
        <item x="249"/>
        <item x="193"/>
        <item x="163"/>
        <item x="303"/>
        <item x="328"/>
        <item x="282"/>
        <item x="308"/>
        <item x="72"/>
        <item x="122"/>
        <item x="300"/>
        <item x="255"/>
        <item x="144"/>
        <item x="34"/>
        <item x="337"/>
        <item x="288"/>
        <item x="252"/>
        <item x="192"/>
        <item x="156"/>
        <item x="32"/>
        <item x="100"/>
        <item x="335"/>
        <item x="188"/>
        <item x="262"/>
        <item x="266"/>
        <item x="195"/>
        <item x="223"/>
        <item x="109"/>
        <item x="54"/>
        <item x="142"/>
        <item x="150"/>
        <item x="5"/>
        <item x="26"/>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0"/>
        <item x="3"/>
        <item x="2"/>
        <item t="default"/>
      </items>
    </pivotField>
    <pivotField compact="0" outline="0" showAll="0"/>
    <pivotField compact="0" outline="0" showAll="0"/>
    <pivotField compact="0" outline="0" showAll="0"/>
    <pivotField compact="0" outline="0" showAll="0"/>
    <pivotField compact="0" outline="0" showAll="0"/>
    <pivotField compact="0" numFmtId="4" outline="0" showAll="0"/>
    <pivotField compact="0" numFmtId="165" outline="0" showAll="0"/>
    <pivotField compact="0" numFmtId="165" outline="0" showAll="0"/>
    <pivotField compact="0" numFmtId="166" outline="0" showAll="0"/>
    <pivotField dataField="1" compact="0" numFmtId="165" outline="0" showAll="0"/>
    <pivotField compact="0" numFmtId="165" outline="0" showAll="0"/>
    <pivotField compact="0" numFmtId="166" outline="0" showAll="0"/>
    <pivotField compact="0" numFmtId="165" outline="0" showAll="0"/>
    <pivotField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axis="axisRow" compact="0" outline="0" showAll="0">
      <items count="7">
        <item sd="0" x="0"/>
        <item sd="0" x="1"/>
        <item sd="0" x="2"/>
        <item sd="0" x="3"/>
        <item sd="0" x="4"/>
        <item sd="0" x="5"/>
        <item t="default"/>
      </items>
    </pivotField>
    <pivotField axis="axisRow" compact="0" outline="0" showAll="0">
      <items count="5">
        <item sd="0" x="0"/>
        <item sd="0" x="1"/>
        <item sd="0" x="2"/>
        <item sd="0" x="3"/>
        <item t="default"/>
      </items>
    </pivotField>
  </pivotFields>
  <rowFields count="4">
    <field x="10"/>
    <field x="29"/>
    <field x="28"/>
    <field x="27"/>
  </rowFields>
  <rowItems count="13">
    <i>
      <x/>
      <x v="1"/>
    </i>
    <i r="1">
      <x v="2"/>
    </i>
    <i t="default">
      <x/>
    </i>
    <i>
      <x v="1"/>
      <x v="1"/>
    </i>
    <i r="1">
      <x v="2"/>
    </i>
    <i t="default">
      <x v="1"/>
    </i>
    <i>
      <x v="2"/>
      <x v="1"/>
    </i>
    <i r="1">
      <x v="2"/>
    </i>
    <i t="default">
      <x v="2"/>
    </i>
    <i>
      <x v="3"/>
      <x v="1"/>
    </i>
    <i r="1">
      <x v="2"/>
    </i>
    <i t="default">
      <x v="3"/>
    </i>
    <i t="grand">
      <x/>
    </i>
  </rowItems>
  <colItems count="1">
    <i/>
  </colItems>
  <dataFields count="1">
    <dataField name="Sum of Net Sales USD" fld="20" baseField="0" baseItem="0" numFmtId="169"/>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6F8EDF-7BFE-4CCB-998C-8DE0D77793A0}" name="RevenueByRegion" cacheId="1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A3:B11" firstHeaderRow="1" firstDataRow="1" firstDataCol="1"/>
  <pivotFields count="30">
    <pivotField compact="0" outline="0" showAll="0"/>
    <pivotField compact="0" numFmtId="164" outline="0" showAll="0">
      <items count="352">
        <item x="73"/>
        <item x="103"/>
        <item x="277"/>
        <item x="332"/>
        <item x="22"/>
        <item x="318"/>
        <item x="345"/>
        <item x="53"/>
        <item x="327"/>
        <item x="48"/>
        <item x="82"/>
        <item x="240"/>
        <item x="143"/>
        <item x="17"/>
        <item x="260"/>
        <item x="278"/>
        <item x="62"/>
        <item x="9"/>
        <item x="261"/>
        <item x="13"/>
        <item x="302"/>
        <item x="269"/>
        <item x="205"/>
        <item x="348"/>
        <item x="70"/>
        <item x="11"/>
        <item x="117"/>
        <item x="98"/>
        <item x="190"/>
        <item x="309"/>
        <item x="2"/>
        <item x="137"/>
        <item x="286"/>
        <item x="250"/>
        <item x="93"/>
        <item x="276"/>
        <item x="267"/>
        <item x="202"/>
        <item x="51"/>
        <item x="40"/>
        <item x="136"/>
        <item x="259"/>
        <item x="172"/>
        <item x="222"/>
        <item x="219"/>
        <item x="36"/>
        <item x="25"/>
        <item x="235"/>
        <item x="35"/>
        <item x="256"/>
        <item x="238"/>
        <item x="30"/>
        <item x="74"/>
        <item x="203"/>
        <item x="212"/>
        <item x="167"/>
        <item x="1"/>
        <item x="50"/>
        <item x="279"/>
        <item x="45"/>
        <item x="283"/>
        <item x="334"/>
        <item x="120"/>
        <item x="129"/>
        <item x="110"/>
        <item x="92"/>
        <item x="76"/>
        <item x="299"/>
        <item x="177"/>
        <item x="111"/>
        <item x="344"/>
        <item x="179"/>
        <item x="55"/>
        <item x="319"/>
        <item x="208"/>
        <item x="311"/>
        <item x="123"/>
        <item x="99"/>
        <item x="247"/>
        <item x="166"/>
        <item x="275"/>
        <item x="10"/>
        <item x="118"/>
        <item x="224"/>
        <item x="341"/>
        <item x="185"/>
        <item x="200"/>
        <item x="164"/>
        <item x="113"/>
        <item x="141"/>
        <item x="67"/>
        <item x="342"/>
        <item x="265"/>
        <item x="246"/>
        <item x="305"/>
        <item x="6"/>
        <item x="7"/>
        <item x="232"/>
        <item x="140"/>
        <item x="257"/>
        <item x="31"/>
        <item x="227"/>
        <item x="16"/>
        <item x="29"/>
        <item x="210"/>
        <item x="209"/>
        <item x="201"/>
        <item x="84"/>
        <item x="68"/>
        <item x="153"/>
        <item x="86"/>
        <item x="104"/>
        <item x="180"/>
        <item x="61"/>
        <item x="184"/>
        <item x="65"/>
        <item x="79"/>
        <item x="290"/>
        <item x="264"/>
        <item x="139"/>
        <item x="151"/>
        <item x="182"/>
        <item x="46"/>
        <item x="178"/>
        <item x="325"/>
        <item x="333"/>
        <item x="165"/>
        <item x="297"/>
        <item x="296"/>
        <item x="349"/>
        <item x="114"/>
        <item x="339"/>
        <item x="8"/>
        <item x="14"/>
        <item x="206"/>
        <item x="97"/>
        <item x="112"/>
        <item x="128"/>
        <item x="69"/>
        <item x="225"/>
        <item x="320"/>
        <item x="161"/>
        <item x="158"/>
        <item x="253"/>
        <item x="119"/>
        <item x="331"/>
        <item x="64"/>
        <item x="251"/>
        <item x="271"/>
        <item x="239"/>
        <item x="131"/>
        <item x="121"/>
        <item x="217"/>
        <item x="168"/>
        <item x="340"/>
        <item x="170"/>
        <item x="133"/>
        <item x="18"/>
        <item x="293"/>
        <item x="85"/>
        <item x="241"/>
        <item x="258"/>
        <item x="176"/>
        <item x="149"/>
        <item x="215"/>
        <item x="78"/>
        <item x="237"/>
        <item x="301"/>
        <item x="313"/>
        <item x="159"/>
        <item x="91"/>
        <item x="231"/>
        <item x="175"/>
        <item x="43"/>
        <item x="15"/>
        <item x="199"/>
        <item x="81"/>
        <item x="148"/>
        <item x="39"/>
        <item x="291"/>
        <item x="211"/>
        <item x="189"/>
        <item x="234"/>
        <item x="116"/>
        <item x="60"/>
        <item x="56"/>
        <item x="306"/>
        <item x="321"/>
        <item x="289"/>
        <item x="322"/>
        <item x="183"/>
        <item x="28"/>
        <item x="343"/>
        <item x="130"/>
        <item x="329"/>
        <item x="21"/>
        <item x="316"/>
        <item x="295"/>
        <item x="132"/>
        <item x="248"/>
        <item x="124"/>
        <item x="214"/>
        <item x="162"/>
        <item x="317"/>
        <item x="154"/>
        <item x="44"/>
        <item x="90"/>
        <item x="230"/>
        <item x="115"/>
        <item x="216"/>
        <item x="236"/>
        <item x="254"/>
        <item x="312"/>
        <item x="197"/>
        <item x="186"/>
        <item x="263"/>
        <item x="314"/>
        <item x="135"/>
        <item x="198"/>
        <item x="127"/>
        <item x="155"/>
        <item x="12"/>
        <item x="20"/>
        <item x="270"/>
        <item x="294"/>
        <item x="281"/>
        <item x="146"/>
        <item x="292"/>
        <item x="310"/>
        <item x="213"/>
        <item x="23"/>
        <item x="233"/>
        <item x="243"/>
        <item x="52"/>
        <item x="268"/>
        <item x="245"/>
        <item x="66"/>
        <item x="181"/>
        <item x="169"/>
        <item x="220"/>
        <item x="3"/>
        <item x="88"/>
        <item x="244"/>
        <item x="41"/>
        <item x="83"/>
        <item x="58"/>
        <item x="218"/>
        <item x="57"/>
        <item x="47"/>
        <item x="4"/>
        <item x="87"/>
        <item x="194"/>
        <item x="326"/>
        <item x="273"/>
        <item x="102"/>
        <item x="287"/>
        <item x="280"/>
        <item x="307"/>
        <item x="19"/>
        <item x="125"/>
        <item x="126"/>
        <item x="229"/>
        <item x="59"/>
        <item x="204"/>
        <item x="24"/>
        <item x="298"/>
        <item x="101"/>
        <item x="94"/>
        <item x="272"/>
        <item x="228"/>
        <item x="285"/>
        <item x="157"/>
        <item x="226"/>
        <item x="338"/>
        <item x="147"/>
        <item x="106"/>
        <item x="196"/>
        <item x="274"/>
        <item x="242"/>
        <item x="75"/>
        <item x="324"/>
        <item x="347"/>
        <item x="221"/>
        <item x="37"/>
        <item x="95"/>
        <item x="323"/>
        <item x="77"/>
        <item x="173"/>
        <item x="108"/>
        <item x="171"/>
        <item x="187"/>
        <item x="346"/>
        <item x="33"/>
        <item x="42"/>
        <item x="330"/>
        <item x="138"/>
        <item x="304"/>
        <item x="107"/>
        <item x="336"/>
        <item x="96"/>
        <item x="350"/>
        <item x="89"/>
        <item x="160"/>
        <item x="27"/>
        <item x="145"/>
        <item x="284"/>
        <item x="191"/>
        <item x="38"/>
        <item x="105"/>
        <item x="0"/>
        <item x="207"/>
        <item x="71"/>
        <item x="174"/>
        <item x="49"/>
        <item x="63"/>
        <item x="134"/>
        <item x="152"/>
        <item x="315"/>
        <item x="249"/>
        <item x="193"/>
        <item x="163"/>
        <item x="303"/>
        <item x="328"/>
        <item x="282"/>
        <item x="308"/>
        <item x="72"/>
        <item x="122"/>
        <item x="300"/>
        <item x="255"/>
        <item x="144"/>
        <item x="34"/>
        <item x="337"/>
        <item x="288"/>
        <item x="252"/>
        <item x="192"/>
        <item x="156"/>
        <item x="32"/>
        <item x="100"/>
        <item x="335"/>
        <item x="188"/>
        <item x="262"/>
        <item x="266"/>
        <item x="195"/>
        <item x="223"/>
        <item x="109"/>
        <item x="54"/>
        <item x="142"/>
        <item x="150"/>
        <item x="5"/>
        <item x="26"/>
        <item x="80"/>
        <item t="default"/>
      </items>
    </pivotField>
    <pivotField compact="0" outline="0" showAll="0"/>
    <pivotField compact="0" outline="0" showAll="0"/>
    <pivotField compact="0" outline="0" showAll="0"/>
    <pivotField axis="axisRow" compact="0" outline="0" showAll="0">
      <items count="8">
        <item x="6"/>
        <item x="0"/>
        <item x="1"/>
        <item x="2"/>
        <item x="3"/>
        <item x="5"/>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numFmtId="165" outline="0" showAll="0"/>
    <pivotField compact="0" numFmtId="165" outline="0" showAll="0"/>
    <pivotField compact="0" numFmtId="166" outline="0" showAll="0"/>
    <pivotField dataField="1" compact="0" numFmtId="165" outline="0" showAll="0"/>
    <pivotField compact="0" numFmtId="165" outline="0" showAll="0"/>
    <pivotField compact="0" numFmtId="166" outline="0" showAll="0"/>
    <pivotField compact="0" numFmtId="165"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Sum of Net Sales USD" fld="20" baseField="0" baseItem="0" numFmtId="169"/>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F3688-2F37-478E-9662-1570E7B661A2}" name="RevenueByMonth" cacheId="1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A3:B16" firstHeaderRow="1" firstDataRow="1" firstDataCol="1"/>
  <pivotFields count="30">
    <pivotField compact="0" outline="0" showAll="0"/>
    <pivotField compact="0" numFmtId="164" outline="0" showAll="0">
      <items count="352">
        <item x="73"/>
        <item x="103"/>
        <item x="277"/>
        <item x="332"/>
        <item x="22"/>
        <item x="318"/>
        <item x="345"/>
        <item x="53"/>
        <item x="327"/>
        <item x="48"/>
        <item x="82"/>
        <item x="240"/>
        <item x="143"/>
        <item x="17"/>
        <item x="260"/>
        <item x="278"/>
        <item x="62"/>
        <item x="9"/>
        <item x="261"/>
        <item x="13"/>
        <item x="302"/>
        <item x="269"/>
        <item x="205"/>
        <item x="348"/>
        <item x="70"/>
        <item x="11"/>
        <item x="117"/>
        <item x="98"/>
        <item x="190"/>
        <item x="309"/>
        <item x="2"/>
        <item x="137"/>
        <item x="286"/>
        <item x="250"/>
        <item x="93"/>
        <item x="276"/>
        <item x="267"/>
        <item x="202"/>
        <item x="51"/>
        <item x="40"/>
        <item x="136"/>
        <item x="259"/>
        <item x="172"/>
        <item x="222"/>
        <item x="219"/>
        <item x="36"/>
        <item x="25"/>
        <item x="235"/>
        <item x="35"/>
        <item x="256"/>
        <item x="238"/>
        <item x="30"/>
        <item x="74"/>
        <item x="203"/>
        <item x="212"/>
        <item x="167"/>
        <item x="1"/>
        <item x="50"/>
        <item x="279"/>
        <item x="45"/>
        <item x="283"/>
        <item x="334"/>
        <item x="120"/>
        <item x="129"/>
        <item x="110"/>
        <item x="92"/>
        <item x="76"/>
        <item x="299"/>
        <item x="177"/>
        <item x="111"/>
        <item x="344"/>
        <item x="179"/>
        <item x="55"/>
        <item x="319"/>
        <item x="208"/>
        <item x="311"/>
        <item x="123"/>
        <item x="99"/>
        <item x="247"/>
        <item x="166"/>
        <item x="275"/>
        <item x="10"/>
        <item x="118"/>
        <item x="224"/>
        <item x="341"/>
        <item x="185"/>
        <item x="200"/>
        <item x="164"/>
        <item x="113"/>
        <item x="141"/>
        <item x="67"/>
        <item x="342"/>
        <item x="265"/>
        <item x="246"/>
        <item x="305"/>
        <item x="6"/>
        <item x="7"/>
        <item x="232"/>
        <item x="140"/>
        <item x="257"/>
        <item x="31"/>
        <item x="227"/>
        <item x="16"/>
        <item x="29"/>
        <item x="210"/>
        <item x="209"/>
        <item x="201"/>
        <item x="84"/>
        <item x="68"/>
        <item x="153"/>
        <item x="86"/>
        <item x="104"/>
        <item x="180"/>
        <item x="61"/>
        <item x="184"/>
        <item x="65"/>
        <item x="79"/>
        <item x="290"/>
        <item x="264"/>
        <item x="139"/>
        <item x="151"/>
        <item x="182"/>
        <item x="46"/>
        <item x="178"/>
        <item x="325"/>
        <item x="333"/>
        <item x="165"/>
        <item x="297"/>
        <item x="296"/>
        <item x="349"/>
        <item x="114"/>
        <item x="339"/>
        <item x="8"/>
        <item x="14"/>
        <item x="206"/>
        <item x="97"/>
        <item x="112"/>
        <item x="128"/>
        <item x="69"/>
        <item x="225"/>
        <item x="320"/>
        <item x="161"/>
        <item x="158"/>
        <item x="253"/>
        <item x="119"/>
        <item x="331"/>
        <item x="64"/>
        <item x="251"/>
        <item x="271"/>
        <item x="239"/>
        <item x="131"/>
        <item x="121"/>
        <item x="217"/>
        <item x="168"/>
        <item x="340"/>
        <item x="170"/>
        <item x="133"/>
        <item x="18"/>
        <item x="293"/>
        <item x="85"/>
        <item x="241"/>
        <item x="258"/>
        <item x="176"/>
        <item x="149"/>
        <item x="215"/>
        <item x="78"/>
        <item x="237"/>
        <item x="301"/>
        <item x="313"/>
        <item x="159"/>
        <item x="91"/>
        <item x="231"/>
        <item x="175"/>
        <item x="43"/>
        <item x="15"/>
        <item x="199"/>
        <item x="81"/>
        <item x="148"/>
        <item x="39"/>
        <item x="291"/>
        <item x="211"/>
        <item x="189"/>
        <item x="234"/>
        <item x="116"/>
        <item x="60"/>
        <item x="56"/>
        <item x="306"/>
        <item x="321"/>
        <item x="289"/>
        <item x="322"/>
        <item x="183"/>
        <item x="28"/>
        <item x="343"/>
        <item x="130"/>
        <item x="329"/>
        <item x="21"/>
        <item x="316"/>
        <item x="295"/>
        <item x="132"/>
        <item x="248"/>
        <item x="124"/>
        <item x="214"/>
        <item x="162"/>
        <item x="317"/>
        <item x="154"/>
        <item x="44"/>
        <item x="90"/>
        <item x="230"/>
        <item x="115"/>
        <item x="216"/>
        <item x="236"/>
        <item x="254"/>
        <item x="312"/>
        <item x="197"/>
        <item x="186"/>
        <item x="263"/>
        <item x="314"/>
        <item x="135"/>
        <item x="198"/>
        <item x="127"/>
        <item x="155"/>
        <item x="12"/>
        <item x="20"/>
        <item x="270"/>
        <item x="294"/>
        <item x="281"/>
        <item x="146"/>
        <item x="292"/>
        <item x="310"/>
        <item x="213"/>
        <item x="23"/>
        <item x="233"/>
        <item x="243"/>
        <item x="52"/>
        <item x="268"/>
        <item x="245"/>
        <item x="66"/>
        <item x="181"/>
        <item x="169"/>
        <item x="220"/>
        <item x="3"/>
        <item x="88"/>
        <item x="244"/>
        <item x="41"/>
        <item x="83"/>
        <item x="58"/>
        <item x="218"/>
        <item x="57"/>
        <item x="47"/>
        <item x="4"/>
        <item x="87"/>
        <item x="194"/>
        <item x="326"/>
        <item x="273"/>
        <item x="102"/>
        <item x="287"/>
        <item x="280"/>
        <item x="307"/>
        <item x="19"/>
        <item x="125"/>
        <item x="126"/>
        <item x="229"/>
        <item x="59"/>
        <item x="204"/>
        <item x="24"/>
        <item x="298"/>
        <item x="101"/>
        <item x="94"/>
        <item x="272"/>
        <item x="228"/>
        <item x="285"/>
        <item x="157"/>
        <item x="226"/>
        <item x="338"/>
        <item x="147"/>
        <item x="106"/>
        <item x="196"/>
        <item x="274"/>
        <item x="242"/>
        <item x="75"/>
        <item x="324"/>
        <item x="347"/>
        <item x="221"/>
        <item x="37"/>
        <item x="95"/>
        <item x="323"/>
        <item x="77"/>
        <item x="173"/>
        <item x="108"/>
        <item x="171"/>
        <item x="187"/>
        <item x="346"/>
        <item x="33"/>
        <item x="42"/>
        <item x="330"/>
        <item x="138"/>
        <item x="304"/>
        <item x="107"/>
        <item x="336"/>
        <item x="96"/>
        <item x="350"/>
        <item x="89"/>
        <item x="160"/>
        <item x="27"/>
        <item x="145"/>
        <item x="284"/>
        <item x="191"/>
        <item x="38"/>
        <item x="105"/>
        <item x="0"/>
        <item x="207"/>
        <item x="71"/>
        <item x="174"/>
        <item x="49"/>
        <item x="63"/>
        <item x="134"/>
        <item x="152"/>
        <item x="315"/>
        <item x="249"/>
        <item x="193"/>
        <item x="163"/>
        <item x="303"/>
        <item x="328"/>
        <item x="282"/>
        <item x="308"/>
        <item x="72"/>
        <item x="122"/>
        <item x="300"/>
        <item x="255"/>
        <item x="144"/>
        <item x="34"/>
        <item x="337"/>
        <item x="288"/>
        <item x="252"/>
        <item x="192"/>
        <item x="156"/>
        <item x="32"/>
        <item x="100"/>
        <item x="335"/>
        <item x="188"/>
        <item x="262"/>
        <item x="266"/>
        <item x="195"/>
        <item x="223"/>
        <item x="109"/>
        <item x="54"/>
        <item x="142"/>
        <item x="150"/>
        <item x="5"/>
        <item x="26"/>
        <item x="80"/>
        <item t="default"/>
      </items>
    </pivotField>
    <pivotField compact="0" outline="0" showAll="0"/>
    <pivotField axis="axisRow" compact="0" outline="0" showAll="0">
      <items count="13">
        <item x="9"/>
        <item x="8"/>
        <item x="2"/>
        <item x="1"/>
        <item x="3"/>
        <item x="4"/>
        <item x="6"/>
        <item x="10"/>
        <item x="0"/>
        <item x="7"/>
        <item x="1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numFmtId="165" outline="0" showAll="0"/>
    <pivotField compact="0" numFmtId="165" outline="0" showAll="0"/>
    <pivotField compact="0" numFmtId="166" outline="0" showAll="0"/>
    <pivotField dataField="1" compact="0" numFmtId="165" outline="0" showAll="0"/>
    <pivotField compact="0" numFmtId="165" outline="0" showAll="0"/>
    <pivotField compact="0" numFmtId="166" outline="0" showAll="0"/>
    <pivotField compact="0" numFmtId="165"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Net Sales USD" fld="20" baseField="0" baseItem="0" numFmtId="169"/>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FBAD9-BFE9-4A89-B394-119DA9DCF059}" name="QuantityByProduct" cacheId="1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B8" firstHeaderRow="1" firstDataRow="1" firstDataCol="1"/>
  <pivotFields count="30">
    <pivotField compact="0" outline="0" showAll="0"/>
    <pivotField compact="0" numFmtId="164" outline="0" showAll="0">
      <items count="352">
        <item x="73"/>
        <item x="103"/>
        <item x="277"/>
        <item x="332"/>
        <item x="22"/>
        <item x="318"/>
        <item x="345"/>
        <item x="53"/>
        <item x="327"/>
        <item x="48"/>
        <item x="82"/>
        <item x="240"/>
        <item x="143"/>
        <item x="17"/>
        <item x="260"/>
        <item x="278"/>
        <item x="62"/>
        <item x="9"/>
        <item x="261"/>
        <item x="13"/>
        <item x="302"/>
        <item x="269"/>
        <item x="205"/>
        <item x="348"/>
        <item x="70"/>
        <item x="11"/>
        <item x="117"/>
        <item x="98"/>
        <item x="190"/>
        <item x="309"/>
        <item x="2"/>
        <item x="137"/>
        <item x="286"/>
        <item x="250"/>
        <item x="93"/>
        <item x="276"/>
        <item x="267"/>
        <item x="202"/>
        <item x="51"/>
        <item x="40"/>
        <item x="136"/>
        <item x="259"/>
        <item x="172"/>
        <item x="222"/>
        <item x="219"/>
        <item x="36"/>
        <item x="25"/>
        <item x="235"/>
        <item x="35"/>
        <item x="256"/>
        <item x="238"/>
        <item x="30"/>
        <item x="74"/>
        <item x="203"/>
        <item x="212"/>
        <item x="167"/>
        <item x="1"/>
        <item x="50"/>
        <item x="279"/>
        <item x="45"/>
        <item x="283"/>
        <item x="334"/>
        <item x="120"/>
        <item x="129"/>
        <item x="110"/>
        <item x="92"/>
        <item x="76"/>
        <item x="299"/>
        <item x="177"/>
        <item x="111"/>
        <item x="344"/>
        <item x="179"/>
        <item x="55"/>
        <item x="319"/>
        <item x="208"/>
        <item x="311"/>
        <item x="123"/>
        <item x="99"/>
        <item x="247"/>
        <item x="166"/>
        <item x="275"/>
        <item x="10"/>
        <item x="118"/>
        <item x="224"/>
        <item x="341"/>
        <item x="185"/>
        <item x="200"/>
        <item x="164"/>
        <item x="113"/>
        <item x="141"/>
        <item x="67"/>
        <item x="342"/>
        <item x="265"/>
        <item x="246"/>
        <item x="305"/>
        <item x="6"/>
        <item x="7"/>
        <item x="232"/>
        <item x="140"/>
        <item x="257"/>
        <item x="31"/>
        <item x="227"/>
        <item x="16"/>
        <item x="29"/>
        <item x="210"/>
        <item x="209"/>
        <item x="201"/>
        <item x="84"/>
        <item x="68"/>
        <item x="153"/>
        <item x="86"/>
        <item x="104"/>
        <item x="180"/>
        <item x="61"/>
        <item x="184"/>
        <item x="65"/>
        <item x="79"/>
        <item x="290"/>
        <item x="264"/>
        <item x="139"/>
        <item x="151"/>
        <item x="182"/>
        <item x="46"/>
        <item x="178"/>
        <item x="325"/>
        <item x="333"/>
        <item x="165"/>
        <item x="297"/>
        <item x="296"/>
        <item x="349"/>
        <item x="114"/>
        <item x="339"/>
        <item x="8"/>
        <item x="14"/>
        <item x="206"/>
        <item x="97"/>
        <item x="112"/>
        <item x="128"/>
        <item x="69"/>
        <item x="225"/>
        <item x="320"/>
        <item x="161"/>
        <item x="158"/>
        <item x="253"/>
        <item x="119"/>
        <item x="331"/>
        <item x="64"/>
        <item x="251"/>
        <item x="271"/>
        <item x="239"/>
        <item x="131"/>
        <item x="121"/>
        <item x="217"/>
        <item x="168"/>
        <item x="340"/>
        <item x="170"/>
        <item x="133"/>
        <item x="18"/>
        <item x="293"/>
        <item x="85"/>
        <item x="241"/>
        <item x="258"/>
        <item x="176"/>
        <item x="149"/>
        <item x="215"/>
        <item x="78"/>
        <item x="237"/>
        <item x="301"/>
        <item x="313"/>
        <item x="159"/>
        <item x="91"/>
        <item x="231"/>
        <item x="175"/>
        <item x="43"/>
        <item x="15"/>
        <item x="199"/>
        <item x="81"/>
        <item x="148"/>
        <item x="39"/>
        <item x="291"/>
        <item x="211"/>
        <item x="189"/>
        <item x="234"/>
        <item x="116"/>
        <item x="60"/>
        <item x="56"/>
        <item x="306"/>
        <item x="321"/>
        <item x="289"/>
        <item x="322"/>
        <item x="183"/>
        <item x="28"/>
        <item x="343"/>
        <item x="130"/>
        <item x="329"/>
        <item x="21"/>
        <item x="316"/>
        <item x="295"/>
        <item x="132"/>
        <item x="248"/>
        <item x="124"/>
        <item x="214"/>
        <item x="162"/>
        <item x="317"/>
        <item x="154"/>
        <item x="44"/>
        <item x="90"/>
        <item x="230"/>
        <item x="115"/>
        <item x="216"/>
        <item x="236"/>
        <item x="254"/>
        <item x="312"/>
        <item x="197"/>
        <item x="186"/>
        <item x="263"/>
        <item x="314"/>
        <item x="135"/>
        <item x="198"/>
        <item x="127"/>
        <item x="155"/>
        <item x="12"/>
        <item x="20"/>
        <item x="270"/>
        <item x="294"/>
        <item x="281"/>
        <item x="146"/>
        <item x="292"/>
        <item x="310"/>
        <item x="213"/>
        <item x="23"/>
        <item x="233"/>
        <item x="243"/>
        <item x="52"/>
        <item x="268"/>
        <item x="245"/>
        <item x="66"/>
        <item x="181"/>
        <item x="169"/>
        <item x="220"/>
        <item x="3"/>
        <item x="88"/>
        <item x="244"/>
        <item x="41"/>
        <item x="83"/>
        <item x="58"/>
        <item x="218"/>
        <item x="57"/>
        <item x="47"/>
        <item x="4"/>
        <item x="87"/>
        <item x="194"/>
        <item x="326"/>
        <item x="273"/>
        <item x="102"/>
        <item x="287"/>
        <item x="280"/>
        <item x="307"/>
        <item x="19"/>
        <item x="125"/>
        <item x="126"/>
        <item x="229"/>
        <item x="59"/>
        <item x="204"/>
        <item x="24"/>
        <item x="298"/>
        <item x="101"/>
        <item x="94"/>
        <item x="272"/>
        <item x="228"/>
        <item x="285"/>
        <item x="157"/>
        <item x="226"/>
        <item x="338"/>
        <item x="147"/>
        <item x="106"/>
        <item x="196"/>
        <item x="274"/>
        <item x="242"/>
        <item x="75"/>
        <item x="324"/>
        <item x="347"/>
        <item x="221"/>
        <item x="37"/>
        <item x="95"/>
        <item x="323"/>
        <item x="77"/>
        <item x="173"/>
        <item x="108"/>
        <item x="171"/>
        <item x="187"/>
        <item x="346"/>
        <item x="33"/>
        <item x="42"/>
        <item x="330"/>
        <item x="138"/>
        <item x="304"/>
        <item x="107"/>
        <item x="336"/>
        <item x="96"/>
        <item x="350"/>
        <item x="89"/>
        <item x="160"/>
        <item x="27"/>
        <item x="145"/>
        <item x="284"/>
        <item x="191"/>
        <item x="38"/>
        <item x="105"/>
        <item x="0"/>
        <item x="207"/>
        <item x="71"/>
        <item x="174"/>
        <item x="49"/>
        <item x="63"/>
        <item x="134"/>
        <item x="152"/>
        <item x="315"/>
        <item x="249"/>
        <item x="193"/>
        <item x="163"/>
        <item x="303"/>
        <item x="328"/>
        <item x="282"/>
        <item x="308"/>
        <item x="72"/>
        <item x="122"/>
        <item x="300"/>
        <item x="255"/>
        <item x="144"/>
        <item x="34"/>
        <item x="337"/>
        <item x="288"/>
        <item x="252"/>
        <item x="192"/>
        <item x="156"/>
        <item x="32"/>
        <item x="100"/>
        <item x="335"/>
        <item x="188"/>
        <item x="262"/>
        <item x="266"/>
        <item x="195"/>
        <item x="223"/>
        <item x="109"/>
        <item x="54"/>
        <item x="142"/>
        <item x="150"/>
        <item x="5"/>
        <item x="26"/>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numFmtId="4" outline="0" showAll="0"/>
    <pivotField compact="0" numFmtId="165" outline="0" showAll="0"/>
    <pivotField compact="0" numFmtId="165" outline="0" showAll="0"/>
    <pivotField compact="0" numFmtId="166" outline="0" showAll="0"/>
    <pivotField compact="0" numFmtId="165" outline="0" showAll="0"/>
    <pivotField compact="0" numFmtId="165" outline="0" showAll="0"/>
    <pivotField compact="0" numFmtId="166" outline="0" showAll="0"/>
    <pivotField compact="0" numFmtId="165"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1"/>
  </rowFields>
  <rowItems count="5">
    <i>
      <x/>
    </i>
    <i>
      <x v="1"/>
    </i>
    <i>
      <x v="2"/>
    </i>
    <i>
      <x v="3"/>
    </i>
    <i t="grand">
      <x/>
    </i>
  </rowItems>
  <colItems count="1">
    <i/>
  </colItems>
  <dataFields count="1">
    <dataField name="Sum of Quantity tons" fld="16" baseField="0" baseItem="0" numFmtId="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E3B505-4816-4088-B0E2-DD524BED2348}" name="GrossMarginByCustomerSegment" cacheId="1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B12" firstHeaderRow="1" firstDataRow="1" firstDataCol="1"/>
  <pivotFields count="30">
    <pivotField compact="0" outline="0" showAll="0"/>
    <pivotField compact="0" numFmtId="164" outline="0" showAll="0">
      <items count="352">
        <item x="73"/>
        <item x="103"/>
        <item x="277"/>
        <item x="332"/>
        <item x="22"/>
        <item x="318"/>
        <item x="345"/>
        <item x="53"/>
        <item x="327"/>
        <item x="48"/>
        <item x="82"/>
        <item x="240"/>
        <item x="143"/>
        <item x="17"/>
        <item x="260"/>
        <item x="278"/>
        <item x="62"/>
        <item x="9"/>
        <item x="261"/>
        <item x="13"/>
        <item x="302"/>
        <item x="269"/>
        <item x="205"/>
        <item x="348"/>
        <item x="70"/>
        <item x="11"/>
        <item x="117"/>
        <item x="98"/>
        <item x="190"/>
        <item x="309"/>
        <item x="2"/>
        <item x="137"/>
        <item x="286"/>
        <item x="250"/>
        <item x="93"/>
        <item x="276"/>
        <item x="267"/>
        <item x="202"/>
        <item x="51"/>
        <item x="40"/>
        <item x="136"/>
        <item x="259"/>
        <item x="172"/>
        <item x="222"/>
        <item x="219"/>
        <item x="36"/>
        <item x="25"/>
        <item x="235"/>
        <item x="35"/>
        <item x="256"/>
        <item x="238"/>
        <item x="30"/>
        <item x="74"/>
        <item x="203"/>
        <item x="212"/>
        <item x="167"/>
        <item x="1"/>
        <item x="50"/>
        <item x="279"/>
        <item x="45"/>
        <item x="283"/>
        <item x="334"/>
        <item x="120"/>
        <item x="129"/>
        <item x="110"/>
        <item x="92"/>
        <item x="76"/>
        <item x="299"/>
        <item x="177"/>
        <item x="111"/>
        <item x="344"/>
        <item x="179"/>
        <item x="55"/>
        <item x="319"/>
        <item x="208"/>
        <item x="311"/>
        <item x="123"/>
        <item x="99"/>
        <item x="247"/>
        <item x="166"/>
        <item x="275"/>
        <item x="10"/>
        <item x="118"/>
        <item x="224"/>
        <item x="341"/>
        <item x="185"/>
        <item x="200"/>
        <item x="164"/>
        <item x="113"/>
        <item x="141"/>
        <item x="67"/>
        <item x="342"/>
        <item x="265"/>
        <item x="246"/>
        <item x="305"/>
        <item x="6"/>
        <item x="7"/>
        <item x="232"/>
        <item x="140"/>
        <item x="257"/>
        <item x="31"/>
        <item x="227"/>
        <item x="16"/>
        <item x="29"/>
        <item x="210"/>
        <item x="209"/>
        <item x="201"/>
        <item x="84"/>
        <item x="68"/>
        <item x="153"/>
        <item x="86"/>
        <item x="104"/>
        <item x="180"/>
        <item x="61"/>
        <item x="184"/>
        <item x="65"/>
        <item x="79"/>
        <item x="290"/>
        <item x="264"/>
        <item x="139"/>
        <item x="151"/>
        <item x="182"/>
        <item x="46"/>
        <item x="178"/>
        <item x="325"/>
        <item x="333"/>
        <item x="165"/>
        <item x="297"/>
        <item x="296"/>
        <item x="349"/>
        <item x="114"/>
        <item x="339"/>
        <item x="8"/>
        <item x="14"/>
        <item x="206"/>
        <item x="97"/>
        <item x="112"/>
        <item x="128"/>
        <item x="69"/>
        <item x="225"/>
        <item x="320"/>
        <item x="161"/>
        <item x="158"/>
        <item x="253"/>
        <item x="119"/>
        <item x="331"/>
        <item x="64"/>
        <item x="251"/>
        <item x="271"/>
        <item x="239"/>
        <item x="131"/>
        <item x="121"/>
        <item x="217"/>
        <item x="168"/>
        <item x="340"/>
        <item x="170"/>
        <item x="133"/>
        <item x="18"/>
        <item x="293"/>
        <item x="85"/>
        <item x="241"/>
        <item x="258"/>
        <item x="176"/>
        <item x="149"/>
        <item x="215"/>
        <item x="78"/>
        <item x="237"/>
        <item x="301"/>
        <item x="313"/>
        <item x="159"/>
        <item x="91"/>
        <item x="231"/>
        <item x="175"/>
        <item x="43"/>
        <item x="15"/>
        <item x="199"/>
        <item x="81"/>
        <item x="148"/>
        <item x="39"/>
        <item x="291"/>
        <item x="211"/>
        <item x="189"/>
        <item x="234"/>
        <item x="116"/>
        <item x="60"/>
        <item x="56"/>
        <item x="306"/>
        <item x="321"/>
        <item x="289"/>
        <item x="322"/>
        <item x="183"/>
        <item x="28"/>
        <item x="343"/>
        <item x="130"/>
        <item x="329"/>
        <item x="21"/>
        <item x="316"/>
        <item x="295"/>
        <item x="132"/>
        <item x="248"/>
        <item x="124"/>
        <item x="214"/>
        <item x="162"/>
        <item x="317"/>
        <item x="154"/>
        <item x="44"/>
        <item x="90"/>
        <item x="230"/>
        <item x="115"/>
        <item x="216"/>
        <item x="236"/>
        <item x="254"/>
        <item x="312"/>
        <item x="197"/>
        <item x="186"/>
        <item x="263"/>
        <item x="314"/>
        <item x="135"/>
        <item x="198"/>
        <item x="127"/>
        <item x="155"/>
        <item x="12"/>
        <item x="20"/>
        <item x="270"/>
        <item x="294"/>
        <item x="281"/>
        <item x="146"/>
        <item x="292"/>
        <item x="310"/>
        <item x="213"/>
        <item x="23"/>
        <item x="233"/>
        <item x="243"/>
        <item x="52"/>
        <item x="268"/>
        <item x="245"/>
        <item x="66"/>
        <item x="181"/>
        <item x="169"/>
        <item x="220"/>
        <item x="3"/>
        <item x="88"/>
        <item x="244"/>
        <item x="41"/>
        <item x="83"/>
        <item x="58"/>
        <item x="218"/>
        <item x="57"/>
        <item x="47"/>
        <item x="4"/>
        <item x="87"/>
        <item x="194"/>
        <item x="326"/>
        <item x="273"/>
        <item x="102"/>
        <item x="287"/>
        <item x="280"/>
        <item x="307"/>
        <item x="19"/>
        <item x="125"/>
        <item x="126"/>
        <item x="229"/>
        <item x="59"/>
        <item x="204"/>
        <item x="24"/>
        <item x="298"/>
        <item x="101"/>
        <item x="94"/>
        <item x="272"/>
        <item x="228"/>
        <item x="285"/>
        <item x="157"/>
        <item x="226"/>
        <item x="338"/>
        <item x="147"/>
        <item x="106"/>
        <item x="196"/>
        <item x="274"/>
        <item x="242"/>
        <item x="75"/>
        <item x="324"/>
        <item x="347"/>
        <item x="221"/>
        <item x="37"/>
        <item x="95"/>
        <item x="323"/>
        <item x="77"/>
        <item x="173"/>
        <item x="108"/>
        <item x="171"/>
        <item x="187"/>
        <item x="346"/>
        <item x="33"/>
        <item x="42"/>
        <item x="330"/>
        <item x="138"/>
        <item x="304"/>
        <item x="107"/>
        <item x="336"/>
        <item x="96"/>
        <item x="350"/>
        <item x="89"/>
        <item x="160"/>
        <item x="27"/>
        <item x="145"/>
        <item x="284"/>
        <item x="191"/>
        <item x="38"/>
        <item x="105"/>
        <item x="0"/>
        <item x="207"/>
        <item x="71"/>
        <item x="174"/>
        <item x="49"/>
        <item x="63"/>
        <item x="134"/>
        <item x="152"/>
        <item x="315"/>
        <item x="249"/>
        <item x="193"/>
        <item x="163"/>
        <item x="303"/>
        <item x="328"/>
        <item x="282"/>
        <item x="308"/>
        <item x="72"/>
        <item x="122"/>
        <item x="300"/>
        <item x="255"/>
        <item x="144"/>
        <item x="34"/>
        <item x="337"/>
        <item x="288"/>
        <item x="252"/>
        <item x="192"/>
        <item x="156"/>
        <item x="32"/>
        <item x="100"/>
        <item x="335"/>
        <item x="188"/>
        <item x="262"/>
        <item x="266"/>
        <item x="195"/>
        <item x="223"/>
        <item x="109"/>
        <item x="54"/>
        <item x="142"/>
        <item x="150"/>
        <item x="5"/>
        <item x="26"/>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0"/>
        <item x="7"/>
        <item x="1"/>
        <item x="2"/>
        <item x="4"/>
        <item x="3"/>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numFmtId="165" outline="0" showAll="0"/>
    <pivotField compact="0" numFmtId="165" outline="0" showAll="0"/>
    <pivotField compact="0" numFmtId="166" outline="0" showAll="0"/>
    <pivotField compact="0" numFmtId="165" outline="0" showAll="0"/>
    <pivotField compact="0" numFmtId="165" outline="0" showAll="0"/>
    <pivotField compact="0" numFmtId="166" outline="0" showAll="0"/>
    <pivotField dataField="1" compact="0" numFmtId="165"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8"/>
  </rowFields>
  <rowItems count="9">
    <i>
      <x/>
    </i>
    <i>
      <x v="1"/>
    </i>
    <i>
      <x v="2"/>
    </i>
    <i>
      <x v="3"/>
    </i>
    <i>
      <x v="4"/>
    </i>
    <i>
      <x v="5"/>
    </i>
    <i>
      <x v="6"/>
    </i>
    <i>
      <x v="7"/>
    </i>
    <i t="grand">
      <x/>
    </i>
  </rowItems>
  <colItems count="1">
    <i/>
  </colItems>
  <dataFields count="1">
    <dataField name="Average of Gross Margin USD" fld="23" subtotal="average" baseField="0" baseItem="0" numFmtId="16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79D56D-CAC7-492D-9839-592F36CC9F04}" sourceName="Year">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22EB60-FB9A-4F60-9B31-5567A017C32E}" sourceName="Region">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0F046B6-8063-4670-8B9F-9C70C91C00DF}" sourceName="Customer Segment">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 xr10:uid="{EDCEF66F-6637-4258-9D3E-8EF1106741EA}" sourceName="Product Family">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E4ABA6-9DE3-4942-8897-1FF1191DE9B9}" cache="Slicer_Year" caption="Year" rowHeight="234950"/>
  <slicer name="Region" xr10:uid="{177808E3-EB3A-4BF2-94A7-24B33CE81B3E}" cache="Slicer_Region" caption="Region" rowHeight="234950"/>
  <slicer name="Customer Segment" xr10:uid="{696429AD-A0CD-43E3-9484-5988A71EDB89}" cache="Slicer_Customer_Segment" caption="Customer Segment" rowHeight="234950"/>
  <slicer name="Product Family" xr10:uid="{04E17FE9-3210-4EC9-95AE-C8925C63E56C}" cache="Slicer_Product_Family" caption="Product Famil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eelSalesSample" displayName="SteelSalesSample" ref="A1:AA478">
  <autoFilter ref="A1:AA478" xr:uid="{00000000-000C-0000-FFFF-FFFF00000000}"/>
  <tableColumns count="27">
    <tableColumn id="1" xr3:uid="{00000000-0010-0000-0000-000001000000}" name="Order ID"/>
    <tableColumn id="2" xr3:uid="{00000000-0010-0000-0000-000002000000}" name="Order Date"/>
    <tableColumn id="3" xr3:uid="{00000000-0010-0000-0000-000003000000}" name="Year"/>
    <tableColumn id="4" xr3:uid="{00000000-0010-0000-0000-000004000000}" name="Month"/>
    <tableColumn id="5" xr3:uid="{00000000-0010-0000-0000-000005000000}" name="Quarter"/>
    <tableColumn id="6" xr3:uid="{00000000-0010-0000-0000-000006000000}" name="Region"/>
    <tableColumn id="7" xr3:uid="{00000000-0010-0000-0000-000007000000}" name="Country"/>
    <tableColumn id="8" xr3:uid="{00000000-0010-0000-0000-000008000000}" name="Channel"/>
    <tableColumn id="9" xr3:uid="{00000000-0010-0000-0000-000009000000}" name="Customer Segment"/>
    <tableColumn id="10" xr3:uid="{00000000-0010-0000-0000-00000A000000}" name="End Market"/>
    <tableColumn id="11" xr3:uid="{00000000-0010-0000-0000-00000B000000}" name="Product Family"/>
    <tableColumn id="12" xr3:uid="{00000000-0010-0000-0000-00000C000000}" name="Product Form"/>
    <tableColumn id="13" xr3:uid="{00000000-0010-0000-0000-00000D000000}" name="Grade/Spec"/>
    <tableColumn id="14" xr3:uid="{00000000-0010-0000-0000-00000E000000}" name="Thickness mm"/>
    <tableColumn id="15" xr3:uid="{00000000-0010-0000-0000-00000F000000}" name="Width/Diameter mm"/>
    <tableColumn id="16" xr3:uid="{00000000-0010-0000-0000-000010000000}" name="Length m"/>
    <tableColumn id="17" xr3:uid="{00000000-0010-0000-0000-000011000000}" name="Quantity tons"/>
    <tableColumn id="18" xr3:uid="{00000000-0010-0000-0000-000012000000}" name="Unit Price USD/t"/>
    <tableColumn id="19" xr3:uid="{00000000-0010-0000-0000-000013000000}" name="Gross Sales USD"/>
    <tableColumn id="20" xr3:uid="{00000000-0010-0000-0000-000014000000}" name="Discount %"/>
    <tableColumn id="21" xr3:uid="{00000000-0010-0000-0000-000015000000}" name="Net Sales USD"/>
    <tableColumn id="22" xr3:uid="{00000000-0010-0000-0000-000016000000}" name="Freight USD"/>
    <tableColumn id="23" xr3:uid="{00000000-0010-0000-0000-000017000000}" name="Margin %"/>
    <tableColumn id="24" xr3:uid="{00000000-0010-0000-0000-000018000000}" name="Gross Margin USD"/>
    <tableColumn id="25" xr3:uid="{00000000-0010-0000-0000-000019000000}" name="Payment Terms"/>
    <tableColumn id="26" xr3:uid="{00000000-0010-0000-0000-00001A000000}" name="Sales Rep"/>
    <tableColumn id="27" xr3:uid="{00000000-0010-0000-0000-00001B000000}" name="Data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A60300-A2CE-4D1A-8708-832A69CE8E11}" name="Table3" displayName="Table3" ref="A1:A2" totalsRowShown="0">
  <autoFilter ref="A1:A2" xr:uid="{8CA60300-A2CE-4D1A-8708-832A69CE8E11}"/>
  <tableColumns count="1">
    <tableColumn id="1" xr3:uid="{04121950-70E5-480C-9552-9FBB21EE54F5}" name="Total Revenue" dataDxfId="5">
      <calculatedColumnFormula>SUM(SteelSalesSample[Net Sales USD])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C76E44-C07C-4B79-8994-0DC6BAEDC72D}" name="Table4" displayName="Table4" ref="A4:A5" totalsRowShown="0">
  <autoFilter ref="A4:A5" xr:uid="{C9C76E44-C07C-4B79-8994-0DC6BAEDC72D}"/>
  <tableColumns count="1">
    <tableColumn id="1" xr3:uid="{E08676C9-5E93-484C-BD53-B9D1DBF5C4A5}" name="Total Quantity Sold" dataDxfId="4">
      <calculatedColumnFormula>SUM(SteelSalesSample[Quantity tons])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D1A6B1-3E7D-4C13-927B-C12B701B2335}" name="Table5" displayName="Table5" ref="A7:A8" totalsRowShown="0" headerRowDxfId="2">
  <autoFilter ref="A7:A8" xr:uid="{91D1A6B1-3E7D-4C13-927B-C12B701B2335}"/>
  <tableColumns count="1">
    <tableColumn id="1" xr3:uid="{C112DE1F-5184-4212-ACA7-F41069E49D8E}" name="Average Margin" dataDxfId="3">
      <calculatedColumnFormula>AVERAGE(SteelSalesSample[Margin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C7F90D-26E0-4947-BB12-118CBE4A3089}" name="Table6" displayName="Table6" ref="A10:A11" totalsRowShown="0" headerRowDxfId="0">
  <autoFilter ref="A10:A11" xr:uid="{BFC7F90D-26E0-4947-BB12-118CBE4A3089}"/>
  <tableColumns count="1">
    <tableColumn id="1" xr3:uid="{5515B52C-9129-44C8-A127-7E711ACD1FAE}" name="Number of Customer Segments" dataDxfId="1">
      <calculatedColumnFormula>SUMPRODUCT((SteelSalesSample[Customer Segment]&lt;&gt;"")/COUNTIF(SteelSalesSample[Customer Segment],SteelSalesSample[Customer Segment]&amp;""))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97DF52-2F3B-40A8-A0C8-6221CD3167AE}">
  <we:reference id="wa200005502" version="1.0.0.13" store="en-US" storeType="OMEX"/>
  <we:alternateReferences>
    <we:reference id="wa200005502" version="1.0.0.13" store="wa200005502" storeType="OMEX"/>
  </we:alternateReferences>
  <we:properties>
    <we:property name="docId" value="&quot;OSzSeGLvp6Lpv2DcNNgU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78"/>
  <sheetViews>
    <sheetView showGridLines="0" tabSelected="1" workbookViewId="0">
      <selection activeCell="I491" sqref="I491"/>
    </sheetView>
  </sheetViews>
  <sheetFormatPr defaultRowHeight="13.8"/>
  <cols>
    <col min="1" max="1" width="12.5" customWidth="1"/>
    <col min="2" max="2" width="10.09765625" bestFit="1" customWidth="1"/>
    <col min="3" max="3" width="4.8984375" bestFit="1" customWidth="1"/>
    <col min="4" max="4" width="6.59765625" customWidth="1"/>
    <col min="5" max="5" width="6.5" customWidth="1"/>
    <col min="6" max="6" width="11.5" customWidth="1"/>
    <col min="7" max="7" width="10.5" customWidth="1"/>
    <col min="8" max="8" width="15.8984375" customWidth="1"/>
    <col min="9" max="9" width="18.5" customWidth="1"/>
    <col min="10" max="10" width="15.8984375" customWidth="1"/>
    <col min="11" max="11" width="13" customWidth="1"/>
    <col min="12" max="12" width="10.8984375" customWidth="1"/>
    <col min="13" max="13" width="10.09765625" customWidth="1"/>
    <col min="14" max="14" width="11.3984375" customWidth="1"/>
    <col min="15" max="15" width="16.59765625" customWidth="1"/>
    <col min="16" max="16" width="7.59765625" customWidth="1"/>
    <col min="17" max="17" width="11" customWidth="1"/>
    <col min="18" max="18" width="13.09765625" customWidth="1"/>
    <col min="19" max="19" width="12.69921875" customWidth="1"/>
    <col min="20" max="20" width="9" customWidth="1"/>
    <col min="21" max="21" width="11.19921875" customWidth="1"/>
    <col min="22" max="22" width="9.8984375" bestFit="1" customWidth="1"/>
    <col min="23" max="23" width="7.69921875" customWidth="1"/>
    <col min="24" max="24" width="14.19921875" customWidth="1"/>
    <col min="25" max="25" width="12.19921875" customWidth="1"/>
    <col min="26" max="26" width="8.3984375" customWidth="1"/>
    <col min="27" max="27" width="62.59765625" customWidth="1"/>
  </cols>
  <sheetData>
    <row r="1" spans="1:27" ht="2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s="2" t="s">
        <v>36</v>
      </c>
      <c r="B2" s="3">
        <v>45930</v>
      </c>
      <c r="C2" s="2">
        <v>2025</v>
      </c>
      <c r="D2" s="2" t="s">
        <v>37</v>
      </c>
      <c r="E2" s="2" t="s">
        <v>28</v>
      </c>
      <c r="F2" s="2" t="s">
        <v>38</v>
      </c>
      <c r="G2" s="2" t="s">
        <v>39</v>
      </c>
      <c r="H2" s="2" t="s">
        <v>40</v>
      </c>
      <c r="I2" s="2" t="s">
        <v>41</v>
      </c>
      <c r="J2" s="2" t="s">
        <v>42</v>
      </c>
      <c r="K2" s="2" t="s">
        <v>43</v>
      </c>
      <c r="L2" s="2" t="s">
        <v>44</v>
      </c>
      <c r="M2" s="2" t="s">
        <v>45</v>
      </c>
      <c r="N2" s="2">
        <v>37.020000000000003</v>
      </c>
      <c r="O2" s="2">
        <v>22</v>
      </c>
      <c r="P2" s="2">
        <v>7.7</v>
      </c>
      <c r="Q2" s="4">
        <v>216.1</v>
      </c>
      <c r="R2" s="5">
        <v>680.8</v>
      </c>
      <c r="S2" s="5">
        <v>147120.88</v>
      </c>
      <c r="T2" s="6">
        <v>3.9199999999999999E-2</v>
      </c>
      <c r="U2" s="5">
        <v>141353.74</v>
      </c>
      <c r="V2" s="5">
        <v>20469.689999999999</v>
      </c>
      <c r="W2" s="6">
        <v>0.1052</v>
      </c>
      <c r="X2" s="5">
        <v>14870.41</v>
      </c>
      <c r="Y2" s="2" t="s">
        <v>33</v>
      </c>
      <c r="Z2" s="2" t="s">
        <v>46</v>
      </c>
      <c r="AA2" s="2" t="s">
        <v>35</v>
      </c>
    </row>
    <row r="3" spans="1:27">
      <c r="A3" s="2" t="s">
        <v>47</v>
      </c>
      <c r="B3" s="3">
        <v>45411</v>
      </c>
      <c r="C3" s="2">
        <v>2024</v>
      </c>
      <c r="D3" s="2" t="s">
        <v>48</v>
      </c>
      <c r="E3" s="2" t="s">
        <v>49</v>
      </c>
      <c r="F3" s="2" t="s">
        <v>50</v>
      </c>
      <c r="G3" s="2" t="s">
        <v>51</v>
      </c>
      <c r="H3" s="2" t="s">
        <v>40</v>
      </c>
      <c r="I3" s="2" t="s">
        <v>52</v>
      </c>
      <c r="J3" s="2" t="s">
        <v>53</v>
      </c>
      <c r="K3" s="2" t="s">
        <v>54</v>
      </c>
      <c r="L3" s="2" t="s">
        <v>54</v>
      </c>
      <c r="M3" s="2" t="s">
        <v>55</v>
      </c>
      <c r="N3" s="2">
        <v>44.67</v>
      </c>
      <c r="O3" s="2">
        <v>3157</v>
      </c>
      <c r="P3" s="2">
        <v>10</v>
      </c>
      <c r="Q3" s="4">
        <v>265.81</v>
      </c>
      <c r="R3" s="5">
        <v>1205.2</v>
      </c>
      <c r="S3" s="5">
        <v>320354.21000000002</v>
      </c>
      <c r="T3" s="6">
        <v>5.3900000000000003E-2</v>
      </c>
      <c r="U3" s="5">
        <v>303087.12</v>
      </c>
      <c r="V3" s="5">
        <v>23116.51</v>
      </c>
      <c r="W3" s="6">
        <v>0.24740000000000001</v>
      </c>
      <c r="X3" s="5">
        <v>74983.75</v>
      </c>
      <c r="Y3" s="2" t="s">
        <v>56</v>
      </c>
      <c r="Z3" s="2" t="s">
        <v>57</v>
      </c>
      <c r="AA3" s="2" t="s">
        <v>35</v>
      </c>
    </row>
    <row r="4" spans="1:27">
      <c r="A4" s="2" t="s">
        <v>58</v>
      </c>
      <c r="B4" s="3">
        <v>45359</v>
      </c>
      <c r="C4" s="2">
        <v>2024</v>
      </c>
      <c r="D4" s="2" t="s">
        <v>59</v>
      </c>
      <c r="E4" s="2" t="s">
        <v>60</v>
      </c>
      <c r="F4" s="2" t="s">
        <v>61</v>
      </c>
      <c r="G4" s="2" t="s">
        <v>62</v>
      </c>
      <c r="H4" s="2" t="s">
        <v>63</v>
      </c>
      <c r="I4" s="2" t="s">
        <v>64</v>
      </c>
      <c r="J4" s="2" t="s">
        <v>65</v>
      </c>
      <c r="K4" s="2" t="s">
        <v>66</v>
      </c>
      <c r="L4" s="2" t="s">
        <v>67</v>
      </c>
      <c r="M4" s="2" t="s">
        <v>68</v>
      </c>
      <c r="N4" s="2">
        <v>10.88</v>
      </c>
      <c r="O4" s="2">
        <v>118</v>
      </c>
      <c r="P4" s="2">
        <v>9.3000000000000007</v>
      </c>
      <c r="Q4" s="4">
        <v>63.61</v>
      </c>
      <c r="R4" s="5">
        <v>1576.98</v>
      </c>
      <c r="S4" s="5">
        <v>100311.7</v>
      </c>
      <c r="T4" s="6">
        <v>5.0900000000000001E-2</v>
      </c>
      <c r="U4" s="5">
        <v>95205.83</v>
      </c>
      <c r="V4" s="5">
        <v>2266.1999999999998</v>
      </c>
      <c r="W4" s="6">
        <v>0.18759999999999999</v>
      </c>
      <c r="X4" s="5">
        <v>17860.61</v>
      </c>
      <c r="Y4" s="2" t="s">
        <v>69</v>
      </c>
      <c r="Z4" s="2" t="s">
        <v>70</v>
      </c>
      <c r="AA4" s="2" t="s">
        <v>35</v>
      </c>
    </row>
    <row r="5" spans="1:27">
      <c r="A5" s="2" t="s">
        <v>84</v>
      </c>
      <c r="B5" s="3">
        <v>45795</v>
      </c>
      <c r="C5" s="2">
        <v>2025</v>
      </c>
      <c r="D5" s="2" t="s">
        <v>81</v>
      </c>
      <c r="E5" s="2" t="s">
        <v>49</v>
      </c>
      <c r="F5" s="2" t="s">
        <v>29</v>
      </c>
      <c r="G5" s="2" t="s">
        <v>78</v>
      </c>
      <c r="H5" s="2" t="s">
        <v>63</v>
      </c>
      <c r="I5" s="2" t="s">
        <v>64</v>
      </c>
      <c r="J5" s="2" t="s">
        <v>79</v>
      </c>
      <c r="K5" s="2" t="s">
        <v>43</v>
      </c>
      <c r="L5" s="2" t="s">
        <v>44</v>
      </c>
      <c r="M5" s="2" t="s">
        <v>85</v>
      </c>
      <c r="N5" s="2">
        <v>15.57</v>
      </c>
      <c r="O5" s="2">
        <v>9</v>
      </c>
      <c r="P5" s="2">
        <v>8.8000000000000007</v>
      </c>
      <c r="Q5" s="4">
        <v>58.13</v>
      </c>
      <c r="R5" s="5">
        <v>754.89</v>
      </c>
      <c r="S5" s="5">
        <v>43881.760000000002</v>
      </c>
      <c r="T5" s="6">
        <v>4.8800000000000003E-2</v>
      </c>
      <c r="U5" s="5">
        <v>41740.33</v>
      </c>
      <c r="V5" s="5">
        <v>1086.68</v>
      </c>
      <c r="W5" s="6">
        <v>0.25190000000000001</v>
      </c>
      <c r="X5" s="5">
        <v>10514.39</v>
      </c>
      <c r="Y5" s="2" t="s">
        <v>75</v>
      </c>
      <c r="Z5" s="2" t="s">
        <v>46</v>
      </c>
      <c r="AA5" s="2" t="s">
        <v>35</v>
      </c>
    </row>
    <row r="6" spans="1:27">
      <c r="A6" s="2" t="s">
        <v>90</v>
      </c>
      <c r="B6" s="3">
        <v>45810</v>
      </c>
      <c r="C6" s="2">
        <v>2025</v>
      </c>
      <c r="D6" s="2" t="s">
        <v>91</v>
      </c>
      <c r="E6" s="2" t="s">
        <v>49</v>
      </c>
      <c r="F6" s="2" t="s">
        <v>50</v>
      </c>
      <c r="G6" s="2" t="s">
        <v>92</v>
      </c>
      <c r="H6" s="2" t="s">
        <v>73</v>
      </c>
      <c r="I6" s="2" t="s">
        <v>93</v>
      </c>
      <c r="J6" s="2" t="s">
        <v>53</v>
      </c>
      <c r="K6" s="2" t="s">
        <v>54</v>
      </c>
      <c r="L6" s="2" t="s">
        <v>54</v>
      </c>
      <c r="M6" s="2" t="s">
        <v>94</v>
      </c>
      <c r="N6" s="2">
        <v>49.75</v>
      </c>
      <c r="O6" s="2">
        <v>2229</v>
      </c>
      <c r="P6" s="2">
        <v>3.9</v>
      </c>
      <c r="Q6" s="4">
        <v>25.44</v>
      </c>
      <c r="R6" s="5">
        <v>1306.82</v>
      </c>
      <c r="S6" s="5">
        <v>33245.5</v>
      </c>
      <c r="T6" s="6">
        <v>2.5999999999999999E-2</v>
      </c>
      <c r="U6" s="5">
        <v>32381.119999999999</v>
      </c>
      <c r="V6" s="5">
        <v>488.02</v>
      </c>
      <c r="W6" s="6">
        <v>0.15040000000000001</v>
      </c>
      <c r="X6" s="5">
        <v>4870.12</v>
      </c>
      <c r="Y6" s="2" t="s">
        <v>56</v>
      </c>
      <c r="Z6" s="2" t="s">
        <v>89</v>
      </c>
      <c r="AA6" s="2" t="s">
        <v>35</v>
      </c>
    </row>
    <row r="7" spans="1:27">
      <c r="A7" s="2" t="s">
        <v>96</v>
      </c>
      <c r="B7" s="3">
        <v>46015</v>
      </c>
      <c r="C7" s="2">
        <v>2025</v>
      </c>
      <c r="D7" s="2" t="s">
        <v>97</v>
      </c>
      <c r="E7" s="2" t="s">
        <v>77</v>
      </c>
      <c r="F7" s="2" t="s">
        <v>98</v>
      </c>
      <c r="G7" s="2" t="s">
        <v>99</v>
      </c>
      <c r="H7" s="2" t="s">
        <v>31</v>
      </c>
      <c r="I7" s="2" t="s">
        <v>41</v>
      </c>
      <c r="J7" s="2" t="s">
        <v>65</v>
      </c>
      <c r="K7" s="2" t="s">
        <v>100</v>
      </c>
      <c r="L7" s="2" t="s">
        <v>101</v>
      </c>
      <c r="M7" s="2" t="s">
        <v>102</v>
      </c>
      <c r="N7" s="2">
        <v>11.97</v>
      </c>
      <c r="O7" s="2">
        <v>218</v>
      </c>
      <c r="P7" s="2">
        <v>5.6</v>
      </c>
      <c r="Q7" s="4">
        <v>194.51</v>
      </c>
      <c r="R7" s="5">
        <v>1092.8</v>
      </c>
      <c r="S7" s="5">
        <v>212560.53</v>
      </c>
      <c r="T7" s="6">
        <v>3.2199999999999999E-2</v>
      </c>
      <c r="U7" s="5">
        <v>205716.08</v>
      </c>
      <c r="V7" s="5">
        <v>18749.57</v>
      </c>
      <c r="W7" s="6">
        <v>0.23130000000000001</v>
      </c>
      <c r="X7" s="5">
        <v>47582.13</v>
      </c>
      <c r="Y7" s="2" t="s">
        <v>69</v>
      </c>
      <c r="Z7" s="2" t="s">
        <v>34</v>
      </c>
      <c r="AA7" s="2" t="s">
        <v>35</v>
      </c>
    </row>
    <row r="8" spans="1:27">
      <c r="A8" s="2" t="s">
        <v>103</v>
      </c>
      <c r="B8" s="3">
        <v>45497</v>
      </c>
      <c r="C8" s="2">
        <v>2024</v>
      </c>
      <c r="D8" s="2" t="s">
        <v>104</v>
      </c>
      <c r="E8" s="2" t="s">
        <v>28</v>
      </c>
      <c r="F8" s="2" t="s">
        <v>50</v>
      </c>
      <c r="G8" s="2" t="s">
        <v>105</v>
      </c>
      <c r="H8" s="2" t="s">
        <v>63</v>
      </c>
      <c r="I8" s="2" t="s">
        <v>93</v>
      </c>
      <c r="J8" s="2" t="s">
        <v>42</v>
      </c>
      <c r="K8" s="2" t="s">
        <v>100</v>
      </c>
      <c r="L8" s="2" t="s">
        <v>101</v>
      </c>
      <c r="M8" s="2" t="s">
        <v>102</v>
      </c>
      <c r="N8" s="2">
        <v>4.34</v>
      </c>
      <c r="O8" s="2">
        <v>551</v>
      </c>
      <c r="P8" s="2">
        <v>10.1</v>
      </c>
      <c r="Q8" s="4">
        <v>122.4</v>
      </c>
      <c r="R8" s="5">
        <v>1150.99</v>
      </c>
      <c r="S8" s="5">
        <v>140881.18</v>
      </c>
      <c r="T8" s="6">
        <v>3.3599999999999998E-2</v>
      </c>
      <c r="U8" s="5">
        <v>136147.57</v>
      </c>
      <c r="V8" s="5">
        <v>3291.93</v>
      </c>
      <c r="W8" s="6">
        <v>0.24260000000000001</v>
      </c>
      <c r="X8" s="5">
        <v>33029.4</v>
      </c>
      <c r="Y8" s="2" t="s">
        <v>69</v>
      </c>
      <c r="Z8" s="2" t="s">
        <v>70</v>
      </c>
      <c r="AA8" s="2" t="s">
        <v>35</v>
      </c>
    </row>
    <row r="9" spans="1:27">
      <c r="A9" s="2" t="s">
        <v>107</v>
      </c>
      <c r="B9" s="3">
        <v>45499</v>
      </c>
      <c r="C9" s="2">
        <v>2024</v>
      </c>
      <c r="D9" s="2" t="s">
        <v>104</v>
      </c>
      <c r="E9" s="2" t="s">
        <v>28</v>
      </c>
      <c r="F9" s="2" t="s">
        <v>50</v>
      </c>
      <c r="G9" s="2" t="s">
        <v>92</v>
      </c>
      <c r="H9" s="2" t="s">
        <v>40</v>
      </c>
      <c r="I9" s="2" t="s">
        <v>64</v>
      </c>
      <c r="J9" s="2" t="s">
        <v>65</v>
      </c>
      <c r="K9" s="2" t="s">
        <v>100</v>
      </c>
      <c r="L9" s="2" t="s">
        <v>101</v>
      </c>
      <c r="M9" s="2" t="s">
        <v>108</v>
      </c>
      <c r="N9" s="2">
        <v>7.09</v>
      </c>
      <c r="O9" s="2">
        <v>533</v>
      </c>
      <c r="P9" s="2">
        <v>5.6</v>
      </c>
      <c r="Q9" s="4">
        <v>144.72</v>
      </c>
      <c r="R9" s="5">
        <v>1221.67</v>
      </c>
      <c r="S9" s="5">
        <v>176800.08</v>
      </c>
      <c r="T9" s="6">
        <v>5.7500000000000002E-2</v>
      </c>
      <c r="U9" s="5">
        <v>166634.07999999999</v>
      </c>
      <c r="V9" s="5">
        <v>10785.4</v>
      </c>
      <c r="W9" s="6">
        <v>0.14879999999999999</v>
      </c>
      <c r="X9" s="5">
        <v>24795.15</v>
      </c>
      <c r="Y9" s="2" t="s">
        <v>69</v>
      </c>
      <c r="Z9" s="2" t="s">
        <v>106</v>
      </c>
      <c r="AA9" s="2" t="s">
        <v>35</v>
      </c>
    </row>
    <row r="10" spans="1:27">
      <c r="A10" s="2" t="s">
        <v>109</v>
      </c>
      <c r="B10" s="3">
        <v>45566</v>
      </c>
      <c r="C10" s="2">
        <v>2024</v>
      </c>
      <c r="D10" s="2" t="s">
        <v>110</v>
      </c>
      <c r="E10" s="2" t="s">
        <v>77</v>
      </c>
      <c r="F10" s="2" t="s">
        <v>98</v>
      </c>
      <c r="G10" s="2" t="s">
        <v>111</v>
      </c>
      <c r="H10" s="2" t="s">
        <v>31</v>
      </c>
      <c r="I10" s="2" t="s">
        <v>41</v>
      </c>
      <c r="J10" s="2" t="s">
        <v>79</v>
      </c>
      <c r="K10" s="2" t="s">
        <v>100</v>
      </c>
      <c r="L10" s="2" t="s">
        <v>101</v>
      </c>
      <c r="M10" s="2" t="s">
        <v>102</v>
      </c>
      <c r="N10" s="2">
        <v>15.46</v>
      </c>
      <c r="O10" s="2">
        <v>151</v>
      </c>
      <c r="P10" s="2">
        <v>7</v>
      </c>
      <c r="Q10" s="4">
        <v>110.78</v>
      </c>
      <c r="R10" s="5">
        <v>1211.57</v>
      </c>
      <c r="S10" s="5">
        <v>134217.72</v>
      </c>
      <c r="T10" s="6">
        <v>5.4199999999999998E-2</v>
      </c>
      <c r="U10" s="5">
        <v>126943.12</v>
      </c>
      <c r="V10" s="5">
        <v>7746.26</v>
      </c>
      <c r="W10" s="6">
        <v>9.8199999999999996E-2</v>
      </c>
      <c r="X10" s="5">
        <v>12465.81</v>
      </c>
      <c r="Y10" s="2" t="s">
        <v>56</v>
      </c>
      <c r="Z10" s="2" t="s">
        <v>106</v>
      </c>
      <c r="AA10" s="2" t="s">
        <v>35</v>
      </c>
    </row>
    <row r="11" spans="1:27">
      <c r="A11" s="2" t="s">
        <v>112</v>
      </c>
      <c r="B11" s="3">
        <v>45332</v>
      </c>
      <c r="C11" s="2">
        <v>2024</v>
      </c>
      <c r="D11" s="2" t="s">
        <v>113</v>
      </c>
      <c r="E11" s="2" t="s">
        <v>60</v>
      </c>
      <c r="F11" s="2" t="s">
        <v>61</v>
      </c>
      <c r="G11" s="2" t="s">
        <v>114</v>
      </c>
      <c r="H11" s="2" t="s">
        <v>40</v>
      </c>
      <c r="I11" s="2" t="s">
        <v>88</v>
      </c>
      <c r="J11" s="2" t="s">
        <v>79</v>
      </c>
      <c r="K11" s="2" t="s">
        <v>43</v>
      </c>
      <c r="L11" s="2" t="s">
        <v>44</v>
      </c>
      <c r="M11" s="2" t="s">
        <v>85</v>
      </c>
      <c r="N11" s="2">
        <v>14.6</v>
      </c>
      <c r="O11" s="2">
        <v>12</v>
      </c>
      <c r="P11" s="2">
        <v>8.5</v>
      </c>
      <c r="Q11" s="4">
        <v>183.42</v>
      </c>
      <c r="R11" s="5">
        <v>752.59</v>
      </c>
      <c r="S11" s="5">
        <v>138040.06</v>
      </c>
      <c r="T11" s="6">
        <v>4.9000000000000002E-2</v>
      </c>
      <c r="U11" s="5">
        <v>131276.1</v>
      </c>
      <c r="V11" s="5">
        <v>15506.35</v>
      </c>
      <c r="W11" s="6">
        <v>0.2293</v>
      </c>
      <c r="X11" s="5">
        <v>30101.61</v>
      </c>
      <c r="Y11" s="2" t="s">
        <v>56</v>
      </c>
      <c r="Z11" s="2" t="s">
        <v>57</v>
      </c>
      <c r="AA11" s="2" t="s">
        <v>35</v>
      </c>
    </row>
    <row r="12" spans="1:27">
      <c r="A12" s="2" t="s">
        <v>120</v>
      </c>
      <c r="B12" s="3">
        <v>45452</v>
      </c>
      <c r="C12" s="2">
        <v>2024</v>
      </c>
      <c r="D12" s="2" t="s">
        <v>91</v>
      </c>
      <c r="E12" s="2" t="s">
        <v>49</v>
      </c>
      <c r="F12" s="2" t="s">
        <v>118</v>
      </c>
      <c r="G12" s="2" t="s">
        <v>121</v>
      </c>
      <c r="H12" s="2" t="s">
        <v>40</v>
      </c>
      <c r="I12" s="2" t="s">
        <v>32</v>
      </c>
      <c r="J12" s="2" t="s">
        <v>65</v>
      </c>
      <c r="K12" s="2" t="s">
        <v>66</v>
      </c>
      <c r="L12" s="2" t="s">
        <v>67</v>
      </c>
      <c r="M12" s="2" t="s">
        <v>122</v>
      </c>
      <c r="N12" s="2">
        <v>11.13</v>
      </c>
      <c r="O12" s="2">
        <v>83</v>
      </c>
      <c r="P12" s="2">
        <v>3.9</v>
      </c>
      <c r="Q12" s="4">
        <v>164.45</v>
      </c>
      <c r="R12" s="5">
        <v>1535.78</v>
      </c>
      <c r="S12" s="5">
        <v>252559.02</v>
      </c>
      <c r="T12" s="6">
        <v>5.8400000000000001E-2</v>
      </c>
      <c r="U12" s="5">
        <v>237809.57</v>
      </c>
      <c r="V12" s="5">
        <v>12835.85</v>
      </c>
      <c r="W12" s="6">
        <v>0.26190000000000002</v>
      </c>
      <c r="X12" s="5">
        <v>62282.33</v>
      </c>
      <c r="Y12" s="2" t="s">
        <v>69</v>
      </c>
      <c r="Z12" s="2" t="s">
        <v>70</v>
      </c>
      <c r="AA12" s="2" t="s">
        <v>35</v>
      </c>
    </row>
    <row r="13" spans="1:27">
      <c r="A13" s="2" t="s">
        <v>123</v>
      </c>
      <c r="B13" s="3">
        <v>45349</v>
      </c>
      <c r="C13" s="2">
        <v>2024</v>
      </c>
      <c r="D13" s="2" t="s">
        <v>113</v>
      </c>
      <c r="E13" s="2" t="s">
        <v>60</v>
      </c>
      <c r="F13" s="2" t="s">
        <v>86</v>
      </c>
      <c r="G13" s="2" t="s">
        <v>117</v>
      </c>
      <c r="H13" s="2" t="s">
        <v>40</v>
      </c>
      <c r="I13" s="2" t="s">
        <v>64</v>
      </c>
      <c r="J13" s="2" t="s">
        <v>42</v>
      </c>
      <c r="K13" s="2" t="s">
        <v>43</v>
      </c>
      <c r="L13" s="2" t="s">
        <v>44</v>
      </c>
      <c r="M13" s="2" t="s">
        <v>124</v>
      </c>
      <c r="N13" s="2">
        <v>18.23</v>
      </c>
      <c r="O13" s="2">
        <v>23</v>
      </c>
      <c r="P13" s="2">
        <v>10.1</v>
      </c>
      <c r="Q13" s="4">
        <v>181.93</v>
      </c>
      <c r="R13" s="5">
        <v>658.3</v>
      </c>
      <c r="S13" s="5">
        <v>119764.52</v>
      </c>
      <c r="T13" s="6">
        <v>2.5000000000000001E-2</v>
      </c>
      <c r="U13" s="5">
        <v>116770.41</v>
      </c>
      <c r="V13" s="5">
        <v>12094.43</v>
      </c>
      <c r="W13" s="6">
        <v>0.193</v>
      </c>
      <c r="X13" s="5">
        <v>22536.69</v>
      </c>
      <c r="Y13" s="2" t="s">
        <v>33</v>
      </c>
      <c r="Z13" s="2" t="s">
        <v>125</v>
      </c>
      <c r="AA13" s="2" t="s">
        <v>35</v>
      </c>
    </row>
    <row r="14" spans="1:27">
      <c r="A14" s="2" t="s">
        <v>126</v>
      </c>
      <c r="B14" s="3">
        <v>45756</v>
      </c>
      <c r="C14" s="2">
        <v>2025</v>
      </c>
      <c r="D14" s="2" t="s">
        <v>48</v>
      </c>
      <c r="E14" s="2" t="s">
        <v>49</v>
      </c>
      <c r="F14" s="2" t="s">
        <v>38</v>
      </c>
      <c r="G14" s="2" t="s">
        <v>72</v>
      </c>
      <c r="H14" s="2" t="s">
        <v>73</v>
      </c>
      <c r="I14" s="2" t="s">
        <v>74</v>
      </c>
      <c r="J14" s="2" t="s">
        <v>127</v>
      </c>
      <c r="K14" s="2" t="s">
        <v>54</v>
      </c>
      <c r="L14" s="2" t="s">
        <v>54</v>
      </c>
      <c r="M14" s="2" t="s">
        <v>94</v>
      </c>
      <c r="N14" s="2">
        <v>47.41</v>
      </c>
      <c r="O14" s="2">
        <v>3177</v>
      </c>
      <c r="P14" s="2">
        <v>8.1</v>
      </c>
      <c r="Q14" s="4">
        <v>127.34</v>
      </c>
      <c r="R14" s="5">
        <v>1175.82</v>
      </c>
      <c r="S14" s="5">
        <v>149728.92000000001</v>
      </c>
      <c r="T14" s="6">
        <v>3.85E-2</v>
      </c>
      <c r="U14" s="5">
        <v>143964.35999999999</v>
      </c>
      <c r="V14" s="5">
        <v>4950.97</v>
      </c>
      <c r="W14" s="6">
        <v>0.26590000000000003</v>
      </c>
      <c r="X14" s="5">
        <v>38280.120000000003</v>
      </c>
      <c r="Y14" s="2" t="s">
        <v>56</v>
      </c>
      <c r="Z14" s="2" t="s">
        <v>34</v>
      </c>
      <c r="AA14" s="2" t="s">
        <v>35</v>
      </c>
    </row>
    <row r="15" spans="1:27">
      <c r="A15" s="2" t="s">
        <v>128</v>
      </c>
      <c r="B15" s="3">
        <v>45335</v>
      </c>
      <c r="C15" s="2">
        <v>2024</v>
      </c>
      <c r="D15" s="2" t="s">
        <v>113</v>
      </c>
      <c r="E15" s="2" t="s">
        <v>60</v>
      </c>
      <c r="F15" s="2" t="s">
        <v>118</v>
      </c>
      <c r="G15" s="2" t="s">
        <v>121</v>
      </c>
      <c r="H15" s="2" t="s">
        <v>31</v>
      </c>
      <c r="I15" s="2" t="s">
        <v>116</v>
      </c>
      <c r="J15" s="2" t="s">
        <v>42</v>
      </c>
      <c r="K15" s="2" t="s">
        <v>100</v>
      </c>
      <c r="L15" s="2" t="s">
        <v>101</v>
      </c>
      <c r="M15" s="2" t="s">
        <v>129</v>
      </c>
      <c r="N15" s="2">
        <v>15.37</v>
      </c>
      <c r="O15" s="2">
        <v>93</v>
      </c>
      <c r="P15" s="2">
        <v>3.7</v>
      </c>
      <c r="Q15" s="4">
        <v>79.78</v>
      </c>
      <c r="R15" s="5">
        <v>991.47</v>
      </c>
      <c r="S15" s="5">
        <v>79099.48</v>
      </c>
      <c r="T15" s="6">
        <v>2.52E-2</v>
      </c>
      <c r="U15" s="5">
        <v>77106.17</v>
      </c>
      <c r="V15" s="5">
        <v>5852.58</v>
      </c>
      <c r="W15" s="6">
        <v>0.23119999999999999</v>
      </c>
      <c r="X15" s="5">
        <v>17826.95</v>
      </c>
      <c r="Y15" s="2" t="s">
        <v>69</v>
      </c>
      <c r="Z15" s="2" t="s">
        <v>106</v>
      </c>
      <c r="AA15" s="2" t="s">
        <v>35</v>
      </c>
    </row>
    <row r="16" spans="1:27">
      <c r="A16" s="2" t="s">
        <v>130</v>
      </c>
      <c r="B16" s="3">
        <v>45571</v>
      </c>
      <c r="C16" s="2">
        <v>2024</v>
      </c>
      <c r="D16" s="2" t="s">
        <v>110</v>
      </c>
      <c r="E16" s="2" t="s">
        <v>77</v>
      </c>
      <c r="F16" s="2" t="s">
        <v>50</v>
      </c>
      <c r="G16" s="2" t="s">
        <v>115</v>
      </c>
      <c r="H16" s="2" t="s">
        <v>40</v>
      </c>
      <c r="I16" s="2" t="s">
        <v>88</v>
      </c>
      <c r="J16" s="2" t="s">
        <v>42</v>
      </c>
      <c r="K16" s="2" t="s">
        <v>100</v>
      </c>
      <c r="L16" s="2" t="s">
        <v>101</v>
      </c>
      <c r="M16" s="2" t="s">
        <v>108</v>
      </c>
      <c r="N16" s="2">
        <v>5.89</v>
      </c>
      <c r="O16" s="2">
        <v>583</v>
      </c>
      <c r="P16" s="2">
        <v>10.8</v>
      </c>
      <c r="Q16" s="4">
        <v>247.24</v>
      </c>
      <c r="R16" s="5">
        <v>1281.79</v>
      </c>
      <c r="S16" s="5">
        <v>316909.76</v>
      </c>
      <c r="T16" s="6">
        <v>2.1000000000000001E-2</v>
      </c>
      <c r="U16" s="5">
        <v>310254.65999999997</v>
      </c>
      <c r="V16" s="5">
        <v>18005.62</v>
      </c>
      <c r="W16" s="6">
        <v>0.14369999999999999</v>
      </c>
      <c r="X16" s="5">
        <v>44583.59</v>
      </c>
      <c r="Y16" s="2" t="s">
        <v>56</v>
      </c>
      <c r="Z16" s="2" t="s">
        <v>80</v>
      </c>
      <c r="AA16" s="2" t="s">
        <v>35</v>
      </c>
    </row>
    <row r="17" spans="1:27">
      <c r="A17" s="2" t="s">
        <v>131</v>
      </c>
      <c r="B17" s="3">
        <v>45663</v>
      </c>
      <c r="C17" s="2">
        <v>2025</v>
      </c>
      <c r="D17" s="2" t="s">
        <v>71</v>
      </c>
      <c r="E17" s="2" t="s">
        <v>60</v>
      </c>
      <c r="F17" s="2" t="s">
        <v>61</v>
      </c>
      <c r="G17" s="2" t="s">
        <v>132</v>
      </c>
      <c r="H17" s="2" t="s">
        <v>40</v>
      </c>
      <c r="I17" s="2" t="s">
        <v>64</v>
      </c>
      <c r="J17" s="2" t="s">
        <v>79</v>
      </c>
      <c r="K17" s="2" t="s">
        <v>43</v>
      </c>
      <c r="L17" s="2" t="s">
        <v>44</v>
      </c>
      <c r="M17" s="2" t="s">
        <v>45</v>
      </c>
      <c r="N17" s="2">
        <v>39.46</v>
      </c>
      <c r="O17" s="2">
        <v>30</v>
      </c>
      <c r="P17" s="2">
        <v>8.8000000000000007</v>
      </c>
      <c r="Q17" s="4">
        <v>341.53</v>
      </c>
      <c r="R17" s="5">
        <v>783.86</v>
      </c>
      <c r="S17" s="5">
        <v>267711.71000000002</v>
      </c>
      <c r="T17" s="6">
        <v>7.0199999999999999E-2</v>
      </c>
      <c r="U17" s="5">
        <v>248918.35</v>
      </c>
      <c r="V17" s="5">
        <v>18272.39</v>
      </c>
      <c r="W17" s="6">
        <v>0.1535</v>
      </c>
      <c r="X17" s="5">
        <v>38208.97</v>
      </c>
      <c r="Y17" s="2" t="s">
        <v>33</v>
      </c>
      <c r="Z17" s="2" t="s">
        <v>46</v>
      </c>
      <c r="AA17" s="2" t="s">
        <v>35</v>
      </c>
    </row>
    <row r="18" spans="1:27">
      <c r="A18" s="2" t="s">
        <v>133</v>
      </c>
      <c r="B18" s="3">
        <v>45513</v>
      </c>
      <c r="C18" s="2">
        <v>2024</v>
      </c>
      <c r="D18" s="2" t="s">
        <v>27</v>
      </c>
      <c r="E18" s="2" t="s">
        <v>28</v>
      </c>
      <c r="F18" s="2" t="s">
        <v>86</v>
      </c>
      <c r="G18" s="2" t="s">
        <v>134</v>
      </c>
      <c r="H18" s="2" t="s">
        <v>40</v>
      </c>
      <c r="I18" s="2" t="s">
        <v>64</v>
      </c>
      <c r="J18" s="2" t="s">
        <v>79</v>
      </c>
      <c r="K18" s="2" t="s">
        <v>43</v>
      </c>
      <c r="L18" s="2" t="s">
        <v>44</v>
      </c>
      <c r="M18" s="2" t="s">
        <v>124</v>
      </c>
      <c r="N18" s="2">
        <v>36.54</v>
      </c>
      <c r="O18" s="2">
        <v>12</v>
      </c>
      <c r="P18" s="2">
        <v>4.3</v>
      </c>
      <c r="Q18" s="4">
        <v>732.3</v>
      </c>
      <c r="R18" s="5">
        <v>744.65</v>
      </c>
      <c r="S18" s="5">
        <v>545307.18999999994</v>
      </c>
      <c r="T18" s="6">
        <v>3.3300000000000003E-2</v>
      </c>
      <c r="U18" s="5">
        <v>527148.46</v>
      </c>
      <c r="V18" s="5">
        <v>54391.040000000001</v>
      </c>
      <c r="W18" s="6">
        <v>0.1333</v>
      </c>
      <c r="X18" s="5">
        <v>70268.89</v>
      </c>
      <c r="Y18" s="2" t="s">
        <v>56</v>
      </c>
      <c r="Z18" s="2" t="s">
        <v>106</v>
      </c>
      <c r="AA18" s="2" t="s">
        <v>35</v>
      </c>
    </row>
    <row r="19" spans="1:27">
      <c r="A19" s="2" t="s">
        <v>136</v>
      </c>
      <c r="B19" s="3">
        <v>45326</v>
      </c>
      <c r="C19" s="2">
        <v>2024</v>
      </c>
      <c r="D19" s="2" t="s">
        <v>113</v>
      </c>
      <c r="E19" s="2" t="s">
        <v>60</v>
      </c>
      <c r="F19" s="2" t="s">
        <v>38</v>
      </c>
      <c r="G19" s="2" t="s">
        <v>39</v>
      </c>
      <c r="H19" s="2" t="s">
        <v>31</v>
      </c>
      <c r="I19" s="2" t="s">
        <v>64</v>
      </c>
      <c r="J19" s="2" t="s">
        <v>65</v>
      </c>
      <c r="K19" s="2" t="s">
        <v>100</v>
      </c>
      <c r="L19" s="2" t="s">
        <v>101</v>
      </c>
      <c r="M19" s="2" t="s">
        <v>102</v>
      </c>
      <c r="N19" s="2">
        <v>8.9600000000000009</v>
      </c>
      <c r="O19" s="2">
        <v>294</v>
      </c>
      <c r="P19" s="2">
        <v>11.4</v>
      </c>
      <c r="Q19" s="4">
        <v>63.28</v>
      </c>
      <c r="R19" s="5">
        <v>1210.27</v>
      </c>
      <c r="S19" s="5">
        <v>76585.89</v>
      </c>
      <c r="T19" s="6">
        <v>0.04</v>
      </c>
      <c r="U19" s="5">
        <v>73522.45</v>
      </c>
      <c r="V19" s="5">
        <v>3850.26</v>
      </c>
      <c r="W19" s="6">
        <v>0.19400000000000001</v>
      </c>
      <c r="X19" s="5">
        <v>14263.36</v>
      </c>
      <c r="Y19" s="2" t="s">
        <v>83</v>
      </c>
      <c r="Z19" s="2" t="s">
        <v>106</v>
      </c>
      <c r="AA19" s="2" t="s">
        <v>35</v>
      </c>
    </row>
    <row r="20" spans="1:27">
      <c r="A20" s="2" t="s">
        <v>138</v>
      </c>
      <c r="B20" s="3">
        <v>45614</v>
      </c>
      <c r="C20" s="2">
        <v>2024</v>
      </c>
      <c r="D20" s="2" t="s">
        <v>76</v>
      </c>
      <c r="E20" s="2" t="s">
        <v>77</v>
      </c>
      <c r="F20" s="2" t="s">
        <v>50</v>
      </c>
      <c r="G20" s="2" t="s">
        <v>115</v>
      </c>
      <c r="H20" s="2" t="s">
        <v>31</v>
      </c>
      <c r="I20" s="2" t="s">
        <v>116</v>
      </c>
      <c r="J20" s="2" t="s">
        <v>65</v>
      </c>
      <c r="K20" s="2" t="s">
        <v>54</v>
      </c>
      <c r="L20" s="2" t="s">
        <v>54</v>
      </c>
      <c r="M20" s="2" t="s">
        <v>55</v>
      </c>
      <c r="N20" s="2">
        <v>65.88</v>
      </c>
      <c r="O20" s="2">
        <v>2928</v>
      </c>
      <c r="P20" s="2">
        <v>11</v>
      </c>
      <c r="Q20" s="4">
        <v>134.66</v>
      </c>
      <c r="R20" s="5">
        <v>1307.4000000000001</v>
      </c>
      <c r="S20" s="5">
        <v>176054.48</v>
      </c>
      <c r="T20" s="6">
        <v>5.0500000000000003E-2</v>
      </c>
      <c r="U20" s="5">
        <v>167163.73000000001</v>
      </c>
      <c r="V20" s="5">
        <v>7384.36</v>
      </c>
      <c r="W20" s="6">
        <v>0.1321</v>
      </c>
      <c r="X20" s="5">
        <v>22082.33</v>
      </c>
      <c r="Y20" s="2" t="s">
        <v>56</v>
      </c>
      <c r="Z20" s="2" t="s">
        <v>80</v>
      </c>
      <c r="AA20" s="2" t="s">
        <v>35</v>
      </c>
    </row>
    <row r="21" spans="1:27">
      <c r="A21" s="2" t="s">
        <v>139</v>
      </c>
      <c r="B21" s="3">
        <v>45829</v>
      </c>
      <c r="C21" s="2">
        <v>2025</v>
      </c>
      <c r="D21" s="2" t="s">
        <v>91</v>
      </c>
      <c r="E21" s="2" t="s">
        <v>49</v>
      </c>
      <c r="F21" s="2" t="s">
        <v>98</v>
      </c>
      <c r="G21" s="2" t="s">
        <v>111</v>
      </c>
      <c r="H21" s="2" t="s">
        <v>31</v>
      </c>
      <c r="I21" s="2" t="s">
        <v>41</v>
      </c>
      <c r="J21" s="2" t="s">
        <v>65</v>
      </c>
      <c r="K21" s="2" t="s">
        <v>66</v>
      </c>
      <c r="L21" s="2" t="s">
        <v>67</v>
      </c>
      <c r="M21" s="2" t="s">
        <v>140</v>
      </c>
      <c r="N21" s="2">
        <v>7.3</v>
      </c>
      <c r="O21" s="2">
        <v>311</v>
      </c>
      <c r="P21" s="2">
        <v>9</v>
      </c>
      <c r="Q21" s="4">
        <v>72.290000000000006</v>
      </c>
      <c r="R21" s="5">
        <v>1509.82</v>
      </c>
      <c r="S21" s="5">
        <v>109144.89</v>
      </c>
      <c r="T21" s="6">
        <v>4.8300000000000003E-2</v>
      </c>
      <c r="U21" s="5">
        <v>103873.19</v>
      </c>
      <c r="V21" s="5">
        <v>6264.5</v>
      </c>
      <c r="W21" s="6">
        <v>0.28160000000000002</v>
      </c>
      <c r="X21" s="5">
        <v>29250.69</v>
      </c>
      <c r="Y21" s="2" t="s">
        <v>83</v>
      </c>
      <c r="Z21" s="2" t="s">
        <v>106</v>
      </c>
      <c r="AA21" s="2" t="s">
        <v>35</v>
      </c>
    </row>
    <row r="22" spans="1:27">
      <c r="A22" s="2" t="s">
        <v>141</v>
      </c>
      <c r="B22" s="3">
        <v>45757</v>
      </c>
      <c r="C22" s="2">
        <v>2025</v>
      </c>
      <c r="D22" s="2" t="s">
        <v>48</v>
      </c>
      <c r="E22" s="2" t="s">
        <v>49</v>
      </c>
      <c r="F22" s="2" t="s">
        <v>86</v>
      </c>
      <c r="G22" s="2" t="s">
        <v>134</v>
      </c>
      <c r="H22" s="2" t="s">
        <v>63</v>
      </c>
      <c r="I22" s="2" t="s">
        <v>41</v>
      </c>
      <c r="J22" s="2" t="s">
        <v>127</v>
      </c>
      <c r="K22" s="2" t="s">
        <v>54</v>
      </c>
      <c r="L22" s="2" t="s">
        <v>54</v>
      </c>
      <c r="M22" s="2" t="s">
        <v>94</v>
      </c>
      <c r="N22" s="2">
        <v>74.400000000000006</v>
      </c>
      <c r="O22" s="2">
        <v>2067</v>
      </c>
      <c r="P22" s="2">
        <v>8.3000000000000007</v>
      </c>
      <c r="Q22" s="4">
        <v>209.09</v>
      </c>
      <c r="R22" s="5">
        <v>1276.1500000000001</v>
      </c>
      <c r="S22" s="5">
        <v>266830.2</v>
      </c>
      <c r="T22" s="6">
        <v>1.9900000000000001E-2</v>
      </c>
      <c r="U22" s="5">
        <v>261520.28</v>
      </c>
      <c r="V22" s="5">
        <v>6903.56</v>
      </c>
      <c r="W22" s="6">
        <v>0.2014</v>
      </c>
      <c r="X22" s="5">
        <v>52670.18</v>
      </c>
      <c r="Y22" s="2" t="s">
        <v>83</v>
      </c>
      <c r="Z22" s="2" t="s">
        <v>46</v>
      </c>
      <c r="AA22" s="2" t="s">
        <v>35</v>
      </c>
    </row>
    <row r="23" spans="1:27">
      <c r="A23" s="2" t="s">
        <v>142</v>
      </c>
      <c r="B23" s="3">
        <v>45705</v>
      </c>
      <c r="C23" s="2">
        <v>2025</v>
      </c>
      <c r="D23" s="2" t="s">
        <v>113</v>
      </c>
      <c r="E23" s="2" t="s">
        <v>60</v>
      </c>
      <c r="F23" s="2" t="s">
        <v>61</v>
      </c>
      <c r="G23" s="2" t="s">
        <v>132</v>
      </c>
      <c r="H23" s="2" t="s">
        <v>73</v>
      </c>
      <c r="I23" s="2" t="s">
        <v>88</v>
      </c>
      <c r="J23" s="2" t="s">
        <v>65</v>
      </c>
      <c r="K23" s="2" t="s">
        <v>66</v>
      </c>
      <c r="L23" s="2" t="s">
        <v>67</v>
      </c>
      <c r="M23" s="2" t="s">
        <v>68</v>
      </c>
      <c r="N23" s="2">
        <v>5.08</v>
      </c>
      <c r="O23" s="2">
        <v>277</v>
      </c>
      <c r="P23" s="2">
        <v>3.7</v>
      </c>
      <c r="Q23" s="4">
        <v>4.9000000000000004</v>
      </c>
      <c r="R23" s="5">
        <v>1605.34</v>
      </c>
      <c r="S23" s="5">
        <v>7866.17</v>
      </c>
      <c r="T23" s="6">
        <v>2.5399999999999999E-2</v>
      </c>
      <c r="U23" s="5">
        <v>7666.37</v>
      </c>
      <c r="V23" s="5">
        <v>136.09</v>
      </c>
      <c r="W23" s="6">
        <v>0.27379999999999999</v>
      </c>
      <c r="X23" s="5">
        <v>2099.0500000000002</v>
      </c>
      <c r="Y23" s="2" t="s">
        <v>83</v>
      </c>
      <c r="Z23" s="2" t="s">
        <v>70</v>
      </c>
      <c r="AA23" s="2" t="s">
        <v>35</v>
      </c>
    </row>
    <row r="24" spans="1:27">
      <c r="A24" s="2" t="s">
        <v>143</v>
      </c>
      <c r="B24" s="3">
        <v>45305</v>
      </c>
      <c r="C24" s="2">
        <v>2024</v>
      </c>
      <c r="D24" s="2" t="s">
        <v>71</v>
      </c>
      <c r="E24" s="2" t="s">
        <v>60</v>
      </c>
      <c r="F24" s="2" t="s">
        <v>29</v>
      </c>
      <c r="G24" s="2" t="s">
        <v>95</v>
      </c>
      <c r="H24" s="2" t="s">
        <v>73</v>
      </c>
      <c r="I24" s="2" t="s">
        <v>74</v>
      </c>
      <c r="J24" s="2" t="s">
        <v>42</v>
      </c>
      <c r="K24" s="2" t="s">
        <v>100</v>
      </c>
      <c r="L24" s="2" t="s">
        <v>101</v>
      </c>
      <c r="M24" s="2" t="s">
        <v>102</v>
      </c>
      <c r="N24" s="2">
        <v>12.47</v>
      </c>
      <c r="O24" s="2">
        <v>342</v>
      </c>
      <c r="P24" s="2">
        <v>10.5</v>
      </c>
      <c r="Q24" s="4">
        <v>14.18</v>
      </c>
      <c r="R24" s="5">
        <v>1167.06</v>
      </c>
      <c r="S24" s="5">
        <v>16548.91</v>
      </c>
      <c r="T24" s="6">
        <v>1.9900000000000001E-2</v>
      </c>
      <c r="U24" s="5">
        <v>16219.59</v>
      </c>
      <c r="V24" s="5">
        <v>436.21</v>
      </c>
      <c r="W24" s="6">
        <v>0.23100000000000001</v>
      </c>
      <c r="X24" s="5">
        <v>3746.73</v>
      </c>
      <c r="Y24" s="2" t="s">
        <v>69</v>
      </c>
      <c r="Z24" s="2" t="s">
        <v>70</v>
      </c>
      <c r="AA24" s="2" t="s">
        <v>35</v>
      </c>
    </row>
    <row r="25" spans="1:27">
      <c r="A25" s="2" t="s">
        <v>144</v>
      </c>
      <c r="B25" s="3">
        <v>45773</v>
      </c>
      <c r="C25" s="2">
        <v>2025</v>
      </c>
      <c r="D25" s="2" t="s">
        <v>48</v>
      </c>
      <c r="E25" s="2" t="s">
        <v>49</v>
      </c>
      <c r="F25" s="2" t="s">
        <v>61</v>
      </c>
      <c r="G25" s="2" t="s">
        <v>62</v>
      </c>
      <c r="H25" s="2" t="s">
        <v>40</v>
      </c>
      <c r="I25" s="2" t="s">
        <v>32</v>
      </c>
      <c r="J25" s="2" t="s">
        <v>42</v>
      </c>
      <c r="K25" s="2" t="s">
        <v>100</v>
      </c>
      <c r="L25" s="2" t="s">
        <v>101</v>
      </c>
      <c r="M25" s="2" t="s">
        <v>145</v>
      </c>
      <c r="N25" s="2">
        <v>7.6</v>
      </c>
      <c r="O25" s="2">
        <v>324</v>
      </c>
      <c r="P25" s="2">
        <v>9.6999999999999993</v>
      </c>
      <c r="Q25" s="4">
        <v>114.22</v>
      </c>
      <c r="R25" s="5">
        <v>1238.48</v>
      </c>
      <c r="S25" s="5">
        <v>141459.19</v>
      </c>
      <c r="T25" s="6">
        <v>3.8199999999999998E-2</v>
      </c>
      <c r="U25" s="5">
        <v>136055.45000000001</v>
      </c>
      <c r="V25" s="5">
        <v>8858.5499999999993</v>
      </c>
      <c r="W25" s="6">
        <v>0.1007</v>
      </c>
      <c r="X25" s="5">
        <v>13700.78</v>
      </c>
      <c r="Y25" s="2" t="s">
        <v>83</v>
      </c>
      <c r="Z25" s="2" t="s">
        <v>46</v>
      </c>
      <c r="AA25" s="2" t="s">
        <v>35</v>
      </c>
    </row>
    <row r="26" spans="1:27">
      <c r="A26" s="2" t="s">
        <v>146</v>
      </c>
      <c r="B26" s="3">
        <v>45838</v>
      </c>
      <c r="C26" s="2">
        <v>2025</v>
      </c>
      <c r="D26" s="2" t="s">
        <v>91</v>
      </c>
      <c r="E26" s="2" t="s">
        <v>49</v>
      </c>
      <c r="F26" s="2" t="s">
        <v>86</v>
      </c>
      <c r="G26" s="2" t="s">
        <v>87</v>
      </c>
      <c r="H26" s="2" t="s">
        <v>63</v>
      </c>
      <c r="I26" s="2" t="s">
        <v>32</v>
      </c>
      <c r="J26" s="2" t="s">
        <v>79</v>
      </c>
      <c r="K26" s="2" t="s">
        <v>100</v>
      </c>
      <c r="L26" s="2" t="s">
        <v>101</v>
      </c>
      <c r="M26" s="2" t="s">
        <v>108</v>
      </c>
      <c r="N26" s="2">
        <v>4.87</v>
      </c>
      <c r="O26" s="2">
        <v>385</v>
      </c>
      <c r="P26" s="2">
        <v>9.1</v>
      </c>
      <c r="Q26" s="4">
        <v>116.66</v>
      </c>
      <c r="R26" s="5">
        <v>1178.7</v>
      </c>
      <c r="S26" s="5">
        <v>137507.14000000001</v>
      </c>
      <c r="T26" s="6">
        <v>1.5599999999999999E-2</v>
      </c>
      <c r="U26" s="5">
        <v>135362.03</v>
      </c>
      <c r="V26" s="5">
        <v>3599.31</v>
      </c>
      <c r="W26" s="6">
        <v>0.24829999999999999</v>
      </c>
      <c r="X26" s="5">
        <v>33610.39</v>
      </c>
      <c r="Y26" s="2" t="s">
        <v>83</v>
      </c>
      <c r="Z26" s="2" t="s">
        <v>57</v>
      </c>
      <c r="AA26" s="2" t="s">
        <v>35</v>
      </c>
    </row>
    <row r="27" spans="1:27">
      <c r="A27" s="2" t="s">
        <v>147</v>
      </c>
      <c r="B27" s="3">
        <v>45389</v>
      </c>
      <c r="C27" s="2">
        <v>2024</v>
      </c>
      <c r="D27" s="2" t="s">
        <v>48</v>
      </c>
      <c r="E27" s="2" t="s">
        <v>49</v>
      </c>
      <c r="F27" s="2" t="s">
        <v>50</v>
      </c>
      <c r="G27" s="2" t="s">
        <v>105</v>
      </c>
      <c r="H27" s="2" t="s">
        <v>31</v>
      </c>
      <c r="I27" s="2" t="s">
        <v>88</v>
      </c>
      <c r="J27" s="2" t="s">
        <v>127</v>
      </c>
      <c r="K27" s="2" t="s">
        <v>54</v>
      </c>
      <c r="L27" s="2" t="s">
        <v>54</v>
      </c>
      <c r="M27" s="2" t="s">
        <v>55</v>
      </c>
      <c r="N27" s="2">
        <v>46.09</v>
      </c>
      <c r="O27" s="2">
        <v>2881</v>
      </c>
      <c r="P27" s="2">
        <v>9.1999999999999993</v>
      </c>
      <c r="Q27" s="4">
        <v>142.93</v>
      </c>
      <c r="R27" s="5">
        <v>1270.6600000000001</v>
      </c>
      <c r="S27" s="5">
        <v>181615.43</v>
      </c>
      <c r="T27" s="6">
        <v>1.9E-2</v>
      </c>
      <c r="U27" s="5">
        <v>178164.74</v>
      </c>
      <c r="V27" s="5">
        <v>11808.46</v>
      </c>
      <c r="W27" s="6">
        <v>0.11509999999999999</v>
      </c>
      <c r="X27" s="5">
        <v>20506.759999999998</v>
      </c>
      <c r="Y27" s="2" t="s">
        <v>56</v>
      </c>
      <c r="Z27" s="2" t="s">
        <v>46</v>
      </c>
      <c r="AA27" s="2" t="s">
        <v>35</v>
      </c>
    </row>
    <row r="28" spans="1:27">
      <c r="A28" s="2" t="s">
        <v>148</v>
      </c>
      <c r="B28" s="3">
        <v>46016</v>
      </c>
      <c r="C28" s="2">
        <v>2025</v>
      </c>
      <c r="D28" s="2" t="s">
        <v>97</v>
      </c>
      <c r="E28" s="2" t="s">
        <v>77</v>
      </c>
      <c r="F28" s="2" t="s">
        <v>38</v>
      </c>
      <c r="G28" s="2" t="s">
        <v>39</v>
      </c>
      <c r="H28" s="2" t="s">
        <v>73</v>
      </c>
      <c r="I28" s="2" t="s">
        <v>32</v>
      </c>
      <c r="J28" s="2" t="s">
        <v>42</v>
      </c>
      <c r="K28" s="2" t="s">
        <v>100</v>
      </c>
      <c r="L28" s="2" t="s">
        <v>101</v>
      </c>
      <c r="M28" s="2" t="s">
        <v>145</v>
      </c>
      <c r="N28" s="2">
        <v>12.74</v>
      </c>
      <c r="O28" s="2">
        <v>362</v>
      </c>
      <c r="P28" s="2">
        <v>10.4</v>
      </c>
      <c r="Q28" s="4">
        <v>10.37</v>
      </c>
      <c r="R28" s="5">
        <v>1251.9000000000001</v>
      </c>
      <c r="S28" s="5">
        <v>12982.2</v>
      </c>
      <c r="T28" s="6">
        <v>3.4500000000000003E-2</v>
      </c>
      <c r="U28" s="5">
        <v>12534.31</v>
      </c>
      <c r="V28" s="5">
        <v>211.07</v>
      </c>
      <c r="W28" s="6">
        <v>0.18690000000000001</v>
      </c>
      <c r="X28" s="5">
        <v>2342.66</v>
      </c>
      <c r="Y28" s="2" t="s">
        <v>75</v>
      </c>
      <c r="Z28" s="2" t="s">
        <v>46</v>
      </c>
      <c r="AA28" s="2" t="s">
        <v>35</v>
      </c>
    </row>
    <row r="29" spans="1:27">
      <c r="A29" s="2" t="s">
        <v>149</v>
      </c>
      <c r="B29" s="3">
        <v>45919</v>
      </c>
      <c r="C29" s="2">
        <v>2025</v>
      </c>
      <c r="D29" s="2" t="s">
        <v>37</v>
      </c>
      <c r="E29" s="2" t="s">
        <v>28</v>
      </c>
      <c r="F29" s="2" t="s">
        <v>50</v>
      </c>
      <c r="G29" s="2" t="s">
        <v>115</v>
      </c>
      <c r="H29" s="2" t="s">
        <v>63</v>
      </c>
      <c r="I29" s="2" t="s">
        <v>32</v>
      </c>
      <c r="J29" s="2" t="s">
        <v>65</v>
      </c>
      <c r="K29" s="2" t="s">
        <v>54</v>
      </c>
      <c r="L29" s="2" t="s">
        <v>54</v>
      </c>
      <c r="M29" s="2" t="s">
        <v>55</v>
      </c>
      <c r="N29" s="2">
        <v>38.840000000000003</v>
      </c>
      <c r="O29" s="2">
        <v>2540</v>
      </c>
      <c r="P29" s="2">
        <v>9.9</v>
      </c>
      <c r="Q29" s="4">
        <v>64.13</v>
      </c>
      <c r="R29" s="5">
        <v>1067</v>
      </c>
      <c r="S29" s="5">
        <v>68426.710000000006</v>
      </c>
      <c r="T29" s="6">
        <v>2.9600000000000001E-2</v>
      </c>
      <c r="U29" s="5">
        <v>66401.279999999999</v>
      </c>
      <c r="V29" s="5">
        <v>2073.69</v>
      </c>
      <c r="W29" s="6">
        <v>0.2233</v>
      </c>
      <c r="X29" s="5">
        <v>14827.41</v>
      </c>
      <c r="Y29" s="2" t="s">
        <v>75</v>
      </c>
      <c r="Z29" s="2" t="s">
        <v>70</v>
      </c>
      <c r="AA29" s="2" t="s">
        <v>35</v>
      </c>
    </row>
    <row r="30" spans="1:27">
      <c r="A30" s="2" t="s">
        <v>150</v>
      </c>
      <c r="B30" s="3">
        <v>45698</v>
      </c>
      <c r="C30" s="2">
        <v>2025</v>
      </c>
      <c r="D30" s="2" t="s">
        <v>113</v>
      </c>
      <c r="E30" s="2" t="s">
        <v>60</v>
      </c>
      <c r="F30" s="2" t="s">
        <v>29</v>
      </c>
      <c r="G30" s="2" t="s">
        <v>30</v>
      </c>
      <c r="H30" s="2" t="s">
        <v>40</v>
      </c>
      <c r="I30" s="2" t="s">
        <v>52</v>
      </c>
      <c r="J30" s="2" t="s">
        <v>42</v>
      </c>
      <c r="K30" s="2" t="s">
        <v>100</v>
      </c>
      <c r="L30" s="2" t="s">
        <v>101</v>
      </c>
      <c r="M30" s="2" t="s">
        <v>108</v>
      </c>
      <c r="N30" s="2">
        <v>13.5</v>
      </c>
      <c r="O30" s="2">
        <v>265</v>
      </c>
      <c r="P30" s="2">
        <v>6.8</v>
      </c>
      <c r="Q30" s="4">
        <v>180.22</v>
      </c>
      <c r="R30" s="5">
        <v>1218.83</v>
      </c>
      <c r="S30" s="5">
        <v>219657.54</v>
      </c>
      <c r="T30" s="6">
        <v>2.07E-2</v>
      </c>
      <c r="U30" s="5">
        <v>215110.63</v>
      </c>
      <c r="V30" s="5">
        <v>15174.37</v>
      </c>
      <c r="W30" s="6">
        <v>0.10780000000000001</v>
      </c>
      <c r="X30" s="5">
        <v>23188.93</v>
      </c>
      <c r="Y30" s="2" t="s">
        <v>56</v>
      </c>
      <c r="Z30" s="2" t="s">
        <v>125</v>
      </c>
      <c r="AA30" s="2" t="s">
        <v>35</v>
      </c>
    </row>
    <row r="31" spans="1:27">
      <c r="A31" s="2" t="s">
        <v>151</v>
      </c>
      <c r="B31" s="3">
        <v>45516</v>
      </c>
      <c r="C31" s="2">
        <v>2024</v>
      </c>
      <c r="D31" s="2" t="s">
        <v>27</v>
      </c>
      <c r="E31" s="2" t="s">
        <v>28</v>
      </c>
      <c r="F31" s="2" t="s">
        <v>38</v>
      </c>
      <c r="G31" s="2" t="s">
        <v>72</v>
      </c>
      <c r="H31" s="2" t="s">
        <v>73</v>
      </c>
      <c r="I31" s="2" t="s">
        <v>93</v>
      </c>
      <c r="J31" s="2" t="s">
        <v>65</v>
      </c>
      <c r="K31" s="2" t="s">
        <v>66</v>
      </c>
      <c r="L31" s="2" t="s">
        <v>67</v>
      </c>
      <c r="M31" s="2" t="s">
        <v>152</v>
      </c>
      <c r="N31" s="2">
        <v>9.6300000000000008</v>
      </c>
      <c r="O31" s="2">
        <v>219</v>
      </c>
      <c r="P31" s="2">
        <v>7.2</v>
      </c>
      <c r="Q31" s="4">
        <v>157.81</v>
      </c>
      <c r="R31" s="5">
        <v>1449.37</v>
      </c>
      <c r="S31" s="5">
        <v>228725.08</v>
      </c>
      <c r="T31" s="6">
        <v>1.9E-2</v>
      </c>
      <c r="U31" s="5">
        <v>224379.3</v>
      </c>
      <c r="V31" s="5">
        <v>6349.08</v>
      </c>
      <c r="W31" s="6">
        <v>0.23469999999999999</v>
      </c>
      <c r="X31" s="5">
        <v>52661.82</v>
      </c>
      <c r="Y31" s="2" t="s">
        <v>33</v>
      </c>
      <c r="Z31" s="2" t="s">
        <v>89</v>
      </c>
      <c r="AA31" s="2" t="s">
        <v>35</v>
      </c>
    </row>
    <row r="32" spans="1:27">
      <c r="A32" s="2" t="s">
        <v>153</v>
      </c>
      <c r="B32" s="3">
        <v>45402</v>
      </c>
      <c r="C32" s="2">
        <v>2024</v>
      </c>
      <c r="D32" s="2" t="s">
        <v>48</v>
      </c>
      <c r="E32" s="2" t="s">
        <v>49</v>
      </c>
      <c r="F32" s="2" t="s">
        <v>29</v>
      </c>
      <c r="G32" s="2" t="s">
        <v>95</v>
      </c>
      <c r="H32" s="2" t="s">
        <v>73</v>
      </c>
      <c r="I32" s="2" t="s">
        <v>74</v>
      </c>
      <c r="J32" s="2" t="s">
        <v>65</v>
      </c>
      <c r="K32" s="2" t="s">
        <v>100</v>
      </c>
      <c r="L32" s="2" t="s">
        <v>101</v>
      </c>
      <c r="M32" s="2" t="s">
        <v>108</v>
      </c>
      <c r="N32" s="2">
        <v>9.11</v>
      </c>
      <c r="O32" s="2">
        <v>468</v>
      </c>
      <c r="P32" s="2">
        <v>5.8</v>
      </c>
      <c r="Q32" s="4">
        <v>138.4</v>
      </c>
      <c r="R32" s="5">
        <v>1388.53</v>
      </c>
      <c r="S32" s="5">
        <v>192172.55</v>
      </c>
      <c r="T32" s="6">
        <v>2.2599999999999999E-2</v>
      </c>
      <c r="U32" s="5">
        <v>187829.45</v>
      </c>
      <c r="V32" s="5">
        <v>5095.72</v>
      </c>
      <c r="W32" s="6">
        <v>0.2031</v>
      </c>
      <c r="X32" s="5">
        <v>38148.160000000003</v>
      </c>
      <c r="Y32" s="2" t="s">
        <v>83</v>
      </c>
      <c r="Z32" s="2" t="s">
        <v>57</v>
      </c>
      <c r="AA32" s="2" t="s">
        <v>35</v>
      </c>
    </row>
    <row r="33" spans="1:27">
      <c r="A33" s="2" t="s">
        <v>154</v>
      </c>
      <c r="B33" s="3">
        <v>45510</v>
      </c>
      <c r="C33" s="2">
        <v>2024</v>
      </c>
      <c r="D33" s="2" t="s">
        <v>27</v>
      </c>
      <c r="E33" s="2" t="s">
        <v>28</v>
      </c>
      <c r="F33" s="2" t="s">
        <v>98</v>
      </c>
      <c r="G33" s="2" t="s">
        <v>137</v>
      </c>
      <c r="H33" s="2" t="s">
        <v>40</v>
      </c>
      <c r="I33" s="2" t="s">
        <v>64</v>
      </c>
      <c r="J33" s="2" t="s">
        <v>42</v>
      </c>
      <c r="K33" s="2" t="s">
        <v>100</v>
      </c>
      <c r="L33" s="2" t="s">
        <v>101</v>
      </c>
      <c r="M33" s="2" t="s">
        <v>129</v>
      </c>
      <c r="N33" s="2">
        <v>14.58</v>
      </c>
      <c r="O33" s="2">
        <v>517</v>
      </c>
      <c r="P33" s="2">
        <v>10.199999999999999</v>
      </c>
      <c r="Q33" s="4">
        <v>166.62</v>
      </c>
      <c r="R33" s="5">
        <v>1088.99</v>
      </c>
      <c r="S33" s="5">
        <v>181447.51</v>
      </c>
      <c r="T33" s="6">
        <v>5.4100000000000002E-2</v>
      </c>
      <c r="U33" s="5">
        <v>171631.2</v>
      </c>
      <c r="V33" s="5">
        <v>9594.2900000000009</v>
      </c>
      <c r="W33" s="6">
        <v>0.19939999999999999</v>
      </c>
      <c r="X33" s="5">
        <v>34223.26</v>
      </c>
      <c r="Y33" s="2" t="s">
        <v>33</v>
      </c>
      <c r="Z33" s="2" t="s">
        <v>34</v>
      </c>
      <c r="AA33" s="2" t="s">
        <v>35</v>
      </c>
    </row>
    <row r="34" spans="1:27">
      <c r="A34" s="2" t="s">
        <v>156</v>
      </c>
      <c r="B34" s="3">
        <v>45991</v>
      </c>
      <c r="C34" s="2">
        <v>2025</v>
      </c>
      <c r="D34" s="2" t="s">
        <v>76</v>
      </c>
      <c r="E34" s="2" t="s">
        <v>77</v>
      </c>
      <c r="F34" s="2" t="s">
        <v>118</v>
      </c>
      <c r="G34" s="2" t="s">
        <v>155</v>
      </c>
      <c r="H34" s="2" t="s">
        <v>40</v>
      </c>
      <c r="I34" s="2" t="s">
        <v>88</v>
      </c>
      <c r="J34" s="2" t="s">
        <v>79</v>
      </c>
      <c r="K34" s="2" t="s">
        <v>100</v>
      </c>
      <c r="L34" s="2" t="s">
        <v>101</v>
      </c>
      <c r="M34" s="2" t="s">
        <v>145</v>
      </c>
      <c r="N34" s="2">
        <v>14.58</v>
      </c>
      <c r="O34" s="2">
        <v>185</v>
      </c>
      <c r="P34" s="2">
        <v>7.1</v>
      </c>
      <c r="Q34" s="4">
        <v>151.83000000000001</v>
      </c>
      <c r="R34" s="5">
        <v>1201.53</v>
      </c>
      <c r="S34" s="5">
        <v>182428.3</v>
      </c>
      <c r="T34" s="6">
        <v>2.7799999999999998E-2</v>
      </c>
      <c r="U34" s="5">
        <v>177356.79</v>
      </c>
      <c r="V34" s="5">
        <v>9663.7000000000007</v>
      </c>
      <c r="W34" s="6">
        <v>0.25679999999999997</v>
      </c>
      <c r="X34" s="5">
        <v>45545.22</v>
      </c>
      <c r="Y34" s="2" t="s">
        <v>75</v>
      </c>
      <c r="Z34" s="2" t="s">
        <v>89</v>
      </c>
      <c r="AA34" s="2" t="s">
        <v>35</v>
      </c>
    </row>
    <row r="35" spans="1:27">
      <c r="A35" s="2" t="s">
        <v>157</v>
      </c>
      <c r="B35" s="3">
        <v>45896</v>
      </c>
      <c r="C35" s="2">
        <v>2025</v>
      </c>
      <c r="D35" s="2" t="s">
        <v>27</v>
      </c>
      <c r="E35" s="2" t="s">
        <v>28</v>
      </c>
      <c r="F35" s="2" t="s">
        <v>50</v>
      </c>
      <c r="G35" s="2" t="s">
        <v>51</v>
      </c>
      <c r="H35" s="2" t="s">
        <v>31</v>
      </c>
      <c r="I35" s="2" t="s">
        <v>88</v>
      </c>
      <c r="J35" s="2" t="s">
        <v>127</v>
      </c>
      <c r="K35" s="2" t="s">
        <v>54</v>
      </c>
      <c r="L35" s="2" t="s">
        <v>54</v>
      </c>
      <c r="M35" s="2" t="s">
        <v>158</v>
      </c>
      <c r="N35" s="2">
        <v>48.63</v>
      </c>
      <c r="O35" s="2">
        <v>3195</v>
      </c>
      <c r="P35" s="2">
        <v>7.3</v>
      </c>
      <c r="Q35" s="4">
        <v>15.04</v>
      </c>
      <c r="R35" s="5">
        <v>1193.3599999999999</v>
      </c>
      <c r="S35" s="5">
        <v>17948.13</v>
      </c>
      <c r="T35" s="6">
        <v>3.5499999999999997E-2</v>
      </c>
      <c r="U35" s="5">
        <v>17310.97</v>
      </c>
      <c r="V35" s="5">
        <v>1099.8399999999999</v>
      </c>
      <c r="W35" s="6">
        <v>0.22189999999999999</v>
      </c>
      <c r="X35" s="5">
        <v>3841.3</v>
      </c>
      <c r="Y35" s="2" t="s">
        <v>83</v>
      </c>
      <c r="Z35" s="2" t="s">
        <v>106</v>
      </c>
      <c r="AA35" s="2" t="s">
        <v>35</v>
      </c>
    </row>
    <row r="36" spans="1:27">
      <c r="A36" s="2" t="s">
        <v>159</v>
      </c>
      <c r="B36" s="3">
        <v>45975</v>
      </c>
      <c r="C36" s="2">
        <v>2025</v>
      </c>
      <c r="D36" s="2" t="s">
        <v>76</v>
      </c>
      <c r="E36" s="2" t="s">
        <v>77</v>
      </c>
      <c r="F36" s="2" t="s">
        <v>29</v>
      </c>
      <c r="G36" s="2" t="s">
        <v>30</v>
      </c>
      <c r="H36" s="2" t="s">
        <v>31</v>
      </c>
      <c r="I36" s="2" t="s">
        <v>88</v>
      </c>
      <c r="J36" s="2" t="s">
        <v>79</v>
      </c>
      <c r="K36" s="2" t="s">
        <v>100</v>
      </c>
      <c r="L36" s="2" t="s">
        <v>101</v>
      </c>
      <c r="M36" s="2" t="s">
        <v>129</v>
      </c>
      <c r="N36" s="2">
        <v>13</v>
      </c>
      <c r="O36" s="2">
        <v>462</v>
      </c>
      <c r="P36" s="2">
        <v>10.1</v>
      </c>
      <c r="Q36" s="4">
        <v>160.88999999999999</v>
      </c>
      <c r="R36" s="5">
        <v>1361.23</v>
      </c>
      <c r="S36" s="5">
        <v>219008.29</v>
      </c>
      <c r="T36" s="6">
        <v>6.1400000000000003E-2</v>
      </c>
      <c r="U36" s="5">
        <v>205561.18</v>
      </c>
      <c r="V36" s="5">
        <v>14963</v>
      </c>
      <c r="W36" s="6">
        <v>0.24490000000000001</v>
      </c>
      <c r="X36" s="5">
        <v>50341.93</v>
      </c>
      <c r="Y36" s="2" t="s">
        <v>75</v>
      </c>
      <c r="Z36" s="2" t="s">
        <v>80</v>
      </c>
      <c r="AA36" s="2" t="s">
        <v>35</v>
      </c>
    </row>
    <row r="37" spans="1:27">
      <c r="A37" s="2" t="s">
        <v>160</v>
      </c>
      <c r="B37" s="3">
        <v>45394</v>
      </c>
      <c r="C37" s="2">
        <v>2024</v>
      </c>
      <c r="D37" s="2" t="s">
        <v>48</v>
      </c>
      <c r="E37" s="2" t="s">
        <v>49</v>
      </c>
      <c r="F37" s="2" t="s">
        <v>38</v>
      </c>
      <c r="G37" s="2" t="s">
        <v>39</v>
      </c>
      <c r="H37" s="2" t="s">
        <v>63</v>
      </c>
      <c r="I37" s="2" t="s">
        <v>52</v>
      </c>
      <c r="J37" s="2" t="s">
        <v>42</v>
      </c>
      <c r="K37" s="2" t="s">
        <v>100</v>
      </c>
      <c r="L37" s="2" t="s">
        <v>101</v>
      </c>
      <c r="M37" s="2" t="s">
        <v>145</v>
      </c>
      <c r="N37" s="2">
        <v>14.34</v>
      </c>
      <c r="O37" s="2">
        <v>436</v>
      </c>
      <c r="P37" s="2">
        <v>8.5</v>
      </c>
      <c r="Q37" s="4">
        <v>203.55</v>
      </c>
      <c r="R37" s="5">
        <v>1333.22</v>
      </c>
      <c r="S37" s="5">
        <v>271376.93</v>
      </c>
      <c r="T37" s="6">
        <v>3.7100000000000001E-2</v>
      </c>
      <c r="U37" s="5">
        <v>261308.85</v>
      </c>
      <c r="V37" s="5">
        <v>7888.25</v>
      </c>
      <c r="W37" s="6">
        <v>0.183</v>
      </c>
      <c r="X37" s="5">
        <v>47819.519999999997</v>
      </c>
      <c r="Y37" s="2" t="s">
        <v>83</v>
      </c>
      <c r="Z37" s="2" t="s">
        <v>34</v>
      </c>
      <c r="AA37" s="2" t="s">
        <v>35</v>
      </c>
    </row>
    <row r="38" spans="1:27">
      <c r="A38" s="2" t="s">
        <v>161</v>
      </c>
      <c r="B38" s="3">
        <v>45387</v>
      </c>
      <c r="C38" s="2">
        <v>2024</v>
      </c>
      <c r="D38" s="2" t="s">
        <v>48</v>
      </c>
      <c r="E38" s="2" t="s">
        <v>49</v>
      </c>
      <c r="F38" s="2" t="s">
        <v>86</v>
      </c>
      <c r="G38" s="2" t="s">
        <v>134</v>
      </c>
      <c r="H38" s="2" t="s">
        <v>73</v>
      </c>
      <c r="I38" s="2" t="s">
        <v>116</v>
      </c>
      <c r="J38" s="2" t="s">
        <v>53</v>
      </c>
      <c r="K38" s="2" t="s">
        <v>54</v>
      </c>
      <c r="L38" s="2" t="s">
        <v>54</v>
      </c>
      <c r="M38" s="2" t="s">
        <v>162</v>
      </c>
      <c r="N38" s="2">
        <v>57.36</v>
      </c>
      <c r="O38" s="2">
        <v>1496</v>
      </c>
      <c r="P38" s="2">
        <v>7.6</v>
      </c>
      <c r="Q38" s="4">
        <v>163.03</v>
      </c>
      <c r="R38" s="5">
        <v>1216.1099999999999</v>
      </c>
      <c r="S38" s="5">
        <v>198262.41</v>
      </c>
      <c r="T38" s="6">
        <v>2.7400000000000001E-2</v>
      </c>
      <c r="U38" s="5">
        <v>192830.02</v>
      </c>
      <c r="V38" s="5">
        <v>3122.13</v>
      </c>
      <c r="W38" s="6">
        <v>0.1459</v>
      </c>
      <c r="X38" s="5">
        <v>28133.9</v>
      </c>
      <c r="Y38" s="2" t="s">
        <v>33</v>
      </c>
      <c r="Z38" s="2" t="s">
        <v>89</v>
      </c>
      <c r="AA38" s="2" t="s">
        <v>35</v>
      </c>
    </row>
    <row r="39" spans="1:27">
      <c r="A39" s="2" t="s">
        <v>163</v>
      </c>
      <c r="B39" s="3">
        <v>45881</v>
      </c>
      <c r="C39" s="2">
        <v>2025</v>
      </c>
      <c r="D39" s="2" t="s">
        <v>27</v>
      </c>
      <c r="E39" s="2" t="s">
        <v>28</v>
      </c>
      <c r="F39" s="2" t="s">
        <v>61</v>
      </c>
      <c r="G39" s="2" t="s">
        <v>62</v>
      </c>
      <c r="H39" s="2" t="s">
        <v>73</v>
      </c>
      <c r="I39" s="2" t="s">
        <v>116</v>
      </c>
      <c r="J39" s="2" t="s">
        <v>79</v>
      </c>
      <c r="K39" s="2" t="s">
        <v>100</v>
      </c>
      <c r="L39" s="2" t="s">
        <v>101</v>
      </c>
      <c r="M39" s="2" t="s">
        <v>108</v>
      </c>
      <c r="N39" s="2">
        <v>6.95</v>
      </c>
      <c r="O39" s="2">
        <v>506</v>
      </c>
      <c r="P39" s="2">
        <v>11.9</v>
      </c>
      <c r="Q39" s="4">
        <v>50.02</v>
      </c>
      <c r="R39" s="5">
        <v>1188.2</v>
      </c>
      <c r="S39" s="5">
        <v>59433.760000000002</v>
      </c>
      <c r="T39" s="6">
        <v>4.4900000000000002E-2</v>
      </c>
      <c r="U39" s="5">
        <v>56765.18</v>
      </c>
      <c r="V39" s="5">
        <v>1733.79</v>
      </c>
      <c r="W39" s="6">
        <v>0.17949999999999999</v>
      </c>
      <c r="X39" s="5">
        <v>10189.35</v>
      </c>
      <c r="Y39" s="2" t="s">
        <v>33</v>
      </c>
      <c r="Z39" s="2" t="s">
        <v>70</v>
      </c>
      <c r="AA39" s="2" t="s">
        <v>35</v>
      </c>
    </row>
    <row r="40" spans="1:27">
      <c r="A40" s="2" t="s">
        <v>164</v>
      </c>
      <c r="B40" s="3">
        <v>45795</v>
      </c>
      <c r="C40" s="2">
        <v>2025</v>
      </c>
      <c r="D40" s="2" t="s">
        <v>81</v>
      </c>
      <c r="E40" s="2" t="s">
        <v>49</v>
      </c>
      <c r="F40" s="2" t="s">
        <v>98</v>
      </c>
      <c r="G40" s="2" t="s">
        <v>135</v>
      </c>
      <c r="H40" s="2" t="s">
        <v>31</v>
      </c>
      <c r="I40" s="2" t="s">
        <v>32</v>
      </c>
      <c r="J40" s="2" t="s">
        <v>79</v>
      </c>
      <c r="K40" s="2" t="s">
        <v>100</v>
      </c>
      <c r="L40" s="2" t="s">
        <v>101</v>
      </c>
      <c r="M40" s="2" t="s">
        <v>102</v>
      </c>
      <c r="N40" s="2">
        <v>11.38</v>
      </c>
      <c r="O40" s="2">
        <v>207</v>
      </c>
      <c r="P40" s="2">
        <v>11.2</v>
      </c>
      <c r="Q40" s="4">
        <v>133.03</v>
      </c>
      <c r="R40" s="5">
        <v>1269.93</v>
      </c>
      <c r="S40" s="5">
        <v>168938.79</v>
      </c>
      <c r="T40" s="6">
        <v>3.49E-2</v>
      </c>
      <c r="U40" s="5">
        <v>163042.82999999999</v>
      </c>
      <c r="V40" s="5">
        <v>8469.36</v>
      </c>
      <c r="W40" s="6">
        <v>0.155</v>
      </c>
      <c r="X40" s="5">
        <v>25271.64</v>
      </c>
      <c r="Y40" s="2" t="s">
        <v>75</v>
      </c>
      <c r="Z40" s="2" t="s">
        <v>125</v>
      </c>
      <c r="AA40" s="2" t="s">
        <v>35</v>
      </c>
    </row>
    <row r="41" spans="1:27">
      <c r="A41" s="2" t="s">
        <v>165</v>
      </c>
      <c r="B41" s="3">
        <v>45927</v>
      </c>
      <c r="C41" s="2">
        <v>2025</v>
      </c>
      <c r="D41" s="2" t="s">
        <v>37</v>
      </c>
      <c r="E41" s="2" t="s">
        <v>28</v>
      </c>
      <c r="F41" s="2" t="s">
        <v>29</v>
      </c>
      <c r="G41" s="2" t="s">
        <v>95</v>
      </c>
      <c r="H41" s="2" t="s">
        <v>73</v>
      </c>
      <c r="I41" s="2" t="s">
        <v>88</v>
      </c>
      <c r="J41" s="2" t="s">
        <v>42</v>
      </c>
      <c r="K41" s="2" t="s">
        <v>100</v>
      </c>
      <c r="L41" s="2" t="s">
        <v>101</v>
      </c>
      <c r="M41" s="2" t="s">
        <v>108</v>
      </c>
      <c r="N41" s="2">
        <v>3.02</v>
      </c>
      <c r="O41" s="2">
        <v>460</v>
      </c>
      <c r="P41" s="2">
        <v>5.0999999999999996</v>
      </c>
      <c r="Q41" s="4">
        <v>60.79</v>
      </c>
      <c r="R41" s="5">
        <v>1274.1600000000001</v>
      </c>
      <c r="S41" s="5">
        <v>77456.19</v>
      </c>
      <c r="T41" s="6">
        <v>4.8000000000000001E-2</v>
      </c>
      <c r="U41" s="5">
        <v>73738.289999999994</v>
      </c>
      <c r="V41" s="5">
        <v>2233.2800000000002</v>
      </c>
      <c r="W41" s="6">
        <v>0.247</v>
      </c>
      <c r="X41" s="5">
        <v>18213.36</v>
      </c>
      <c r="Y41" s="2" t="s">
        <v>75</v>
      </c>
      <c r="Z41" s="2" t="s">
        <v>89</v>
      </c>
      <c r="AA41" s="2" t="s">
        <v>35</v>
      </c>
    </row>
    <row r="42" spans="1:27">
      <c r="A42" s="2" t="s">
        <v>166</v>
      </c>
      <c r="B42" s="3">
        <v>45673</v>
      </c>
      <c r="C42" s="2">
        <v>2025</v>
      </c>
      <c r="D42" s="2" t="s">
        <v>71</v>
      </c>
      <c r="E42" s="2" t="s">
        <v>60</v>
      </c>
      <c r="F42" s="2" t="s">
        <v>61</v>
      </c>
      <c r="G42" s="2" t="s">
        <v>114</v>
      </c>
      <c r="H42" s="2" t="s">
        <v>40</v>
      </c>
      <c r="I42" s="2" t="s">
        <v>52</v>
      </c>
      <c r="J42" s="2" t="s">
        <v>65</v>
      </c>
      <c r="K42" s="2" t="s">
        <v>66</v>
      </c>
      <c r="L42" s="2" t="s">
        <v>67</v>
      </c>
      <c r="M42" s="2" t="s">
        <v>140</v>
      </c>
      <c r="N42" s="2">
        <v>10.93</v>
      </c>
      <c r="O42" s="2">
        <v>73</v>
      </c>
      <c r="P42" s="2">
        <v>6.7</v>
      </c>
      <c r="Q42" s="4">
        <v>70.73</v>
      </c>
      <c r="R42" s="5">
        <v>1589.93</v>
      </c>
      <c r="S42" s="5">
        <v>112455.75</v>
      </c>
      <c r="T42" s="6">
        <v>6.08E-2</v>
      </c>
      <c r="U42" s="5">
        <v>105618.44</v>
      </c>
      <c r="V42" s="5">
        <v>5107.18</v>
      </c>
      <c r="W42" s="6">
        <v>0.17580000000000001</v>
      </c>
      <c r="X42" s="5">
        <v>18567.72</v>
      </c>
      <c r="Y42" s="2" t="s">
        <v>56</v>
      </c>
      <c r="Z42" s="2" t="s">
        <v>80</v>
      </c>
      <c r="AA42" s="2" t="s">
        <v>35</v>
      </c>
    </row>
    <row r="43" spans="1:27">
      <c r="A43" s="2" t="s">
        <v>167</v>
      </c>
      <c r="B43" s="3">
        <v>45374</v>
      </c>
      <c r="C43" s="2">
        <v>2024</v>
      </c>
      <c r="D43" s="2" t="s">
        <v>59</v>
      </c>
      <c r="E43" s="2" t="s">
        <v>60</v>
      </c>
      <c r="F43" s="2" t="s">
        <v>50</v>
      </c>
      <c r="G43" s="2" t="s">
        <v>51</v>
      </c>
      <c r="H43" s="2" t="s">
        <v>40</v>
      </c>
      <c r="I43" s="2" t="s">
        <v>74</v>
      </c>
      <c r="J43" s="2" t="s">
        <v>127</v>
      </c>
      <c r="K43" s="2" t="s">
        <v>54</v>
      </c>
      <c r="L43" s="2" t="s">
        <v>54</v>
      </c>
      <c r="M43" s="2" t="s">
        <v>162</v>
      </c>
      <c r="N43" s="2">
        <v>49.9</v>
      </c>
      <c r="O43" s="2">
        <v>2106</v>
      </c>
      <c r="P43" s="2">
        <v>3.1</v>
      </c>
      <c r="Q43" s="4">
        <v>218.43</v>
      </c>
      <c r="R43" s="5">
        <v>1253.95</v>
      </c>
      <c r="S43" s="5">
        <v>273900.3</v>
      </c>
      <c r="T43" s="6">
        <v>5.1499999999999997E-2</v>
      </c>
      <c r="U43" s="5">
        <v>259794.43</v>
      </c>
      <c r="V43" s="5">
        <v>12976.6</v>
      </c>
      <c r="W43" s="6">
        <v>0.21659999999999999</v>
      </c>
      <c r="X43" s="5">
        <v>56271.47</v>
      </c>
      <c r="Y43" s="2" t="s">
        <v>56</v>
      </c>
      <c r="Z43" s="2" t="s">
        <v>106</v>
      </c>
      <c r="AA43" s="2" t="s">
        <v>35</v>
      </c>
    </row>
    <row r="44" spans="1:27">
      <c r="A44" s="2" t="s">
        <v>168</v>
      </c>
      <c r="B44" s="3">
        <v>45801</v>
      </c>
      <c r="C44" s="2">
        <v>2025</v>
      </c>
      <c r="D44" s="2" t="s">
        <v>81</v>
      </c>
      <c r="E44" s="2" t="s">
        <v>49</v>
      </c>
      <c r="F44" s="2" t="s">
        <v>118</v>
      </c>
      <c r="G44" s="2" t="s">
        <v>121</v>
      </c>
      <c r="H44" s="2" t="s">
        <v>63</v>
      </c>
      <c r="I44" s="2" t="s">
        <v>93</v>
      </c>
      <c r="J44" s="2" t="s">
        <v>65</v>
      </c>
      <c r="K44" s="2" t="s">
        <v>100</v>
      </c>
      <c r="L44" s="2" t="s">
        <v>101</v>
      </c>
      <c r="M44" s="2" t="s">
        <v>145</v>
      </c>
      <c r="N44" s="2">
        <v>6.16</v>
      </c>
      <c r="O44" s="2">
        <v>446</v>
      </c>
      <c r="P44" s="2">
        <v>5.5</v>
      </c>
      <c r="Q44" s="4">
        <v>27.21</v>
      </c>
      <c r="R44" s="5">
        <v>1235.7</v>
      </c>
      <c r="S44" s="5">
        <v>33623.4</v>
      </c>
      <c r="T44" s="6">
        <v>4.24E-2</v>
      </c>
      <c r="U44" s="5">
        <v>32197.77</v>
      </c>
      <c r="V44" s="5">
        <v>804.98</v>
      </c>
      <c r="W44" s="6">
        <v>0.161</v>
      </c>
      <c r="X44" s="5">
        <v>5183.84</v>
      </c>
      <c r="Y44" s="2" t="s">
        <v>69</v>
      </c>
      <c r="Z44" s="2" t="s">
        <v>46</v>
      </c>
      <c r="AA44" s="2" t="s">
        <v>35</v>
      </c>
    </row>
    <row r="45" spans="1:27">
      <c r="A45" s="2" t="s">
        <v>169</v>
      </c>
      <c r="B45" s="3">
        <v>45897</v>
      </c>
      <c r="C45" s="2">
        <v>2025</v>
      </c>
      <c r="D45" s="2" t="s">
        <v>27</v>
      </c>
      <c r="E45" s="2" t="s">
        <v>28</v>
      </c>
      <c r="F45" s="2" t="s">
        <v>98</v>
      </c>
      <c r="G45" s="2" t="s">
        <v>99</v>
      </c>
      <c r="H45" s="2" t="s">
        <v>40</v>
      </c>
      <c r="I45" s="2" t="s">
        <v>41</v>
      </c>
      <c r="J45" s="2" t="s">
        <v>65</v>
      </c>
      <c r="K45" s="2" t="s">
        <v>66</v>
      </c>
      <c r="L45" s="2" t="s">
        <v>67</v>
      </c>
      <c r="M45" s="2" t="s">
        <v>140</v>
      </c>
      <c r="N45" s="2">
        <v>7.6</v>
      </c>
      <c r="O45" s="2">
        <v>332</v>
      </c>
      <c r="P45" s="2">
        <v>3.2</v>
      </c>
      <c r="Q45" s="4">
        <v>127.09</v>
      </c>
      <c r="R45" s="5">
        <v>1529.02</v>
      </c>
      <c r="S45" s="5">
        <v>194323.15</v>
      </c>
      <c r="T45" s="6">
        <v>3.2199999999999999E-2</v>
      </c>
      <c r="U45" s="5">
        <v>188065.94</v>
      </c>
      <c r="V45" s="5">
        <v>9156.68</v>
      </c>
      <c r="W45" s="6">
        <v>0.2611</v>
      </c>
      <c r="X45" s="5">
        <v>49104.02</v>
      </c>
      <c r="Y45" s="2" t="s">
        <v>56</v>
      </c>
      <c r="Z45" s="2" t="s">
        <v>89</v>
      </c>
      <c r="AA45" s="2" t="s">
        <v>35</v>
      </c>
    </row>
    <row r="46" spans="1:27">
      <c r="A46" s="2" t="s">
        <v>170</v>
      </c>
      <c r="B46" s="3">
        <v>45662</v>
      </c>
      <c r="C46" s="2">
        <v>2025</v>
      </c>
      <c r="D46" s="2" t="s">
        <v>71</v>
      </c>
      <c r="E46" s="2" t="s">
        <v>60</v>
      </c>
      <c r="F46" s="2" t="s">
        <v>50</v>
      </c>
      <c r="G46" s="2" t="s">
        <v>115</v>
      </c>
      <c r="H46" s="2" t="s">
        <v>63</v>
      </c>
      <c r="I46" s="2" t="s">
        <v>74</v>
      </c>
      <c r="J46" s="2" t="s">
        <v>79</v>
      </c>
      <c r="K46" s="2" t="s">
        <v>43</v>
      </c>
      <c r="L46" s="2" t="s">
        <v>44</v>
      </c>
      <c r="M46" s="2" t="s">
        <v>171</v>
      </c>
      <c r="N46" s="2">
        <v>37.909999999999997</v>
      </c>
      <c r="O46" s="2">
        <v>25</v>
      </c>
      <c r="P46" s="2">
        <v>9.8000000000000007</v>
      </c>
      <c r="Q46" s="4">
        <v>72.349999999999994</v>
      </c>
      <c r="R46" s="5">
        <v>783.02</v>
      </c>
      <c r="S46" s="5">
        <v>56651.5</v>
      </c>
      <c r="T46" s="6">
        <v>1.89E-2</v>
      </c>
      <c r="U46" s="5">
        <v>55580.79</v>
      </c>
      <c r="V46" s="5">
        <v>1316.98</v>
      </c>
      <c r="W46" s="6">
        <v>0.14230000000000001</v>
      </c>
      <c r="X46" s="5">
        <v>7909.15</v>
      </c>
      <c r="Y46" s="2" t="s">
        <v>69</v>
      </c>
      <c r="Z46" s="2" t="s">
        <v>70</v>
      </c>
      <c r="AA46" s="2" t="s">
        <v>35</v>
      </c>
    </row>
    <row r="47" spans="1:27">
      <c r="A47" s="2" t="s">
        <v>172</v>
      </c>
      <c r="B47" s="3">
        <v>45732</v>
      </c>
      <c r="C47" s="2">
        <v>2025</v>
      </c>
      <c r="D47" s="2" t="s">
        <v>59</v>
      </c>
      <c r="E47" s="2" t="s">
        <v>60</v>
      </c>
      <c r="F47" s="2" t="s">
        <v>86</v>
      </c>
      <c r="G47" s="2" t="s">
        <v>117</v>
      </c>
      <c r="H47" s="2" t="s">
        <v>73</v>
      </c>
      <c r="I47" s="2" t="s">
        <v>52</v>
      </c>
      <c r="J47" s="2" t="s">
        <v>127</v>
      </c>
      <c r="K47" s="2" t="s">
        <v>54</v>
      </c>
      <c r="L47" s="2" t="s">
        <v>54</v>
      </c>
      <c r="M47" s="2" t="s">
        <v>158</v>
      </c>
      <c r="N47" s="2">
        <v>55.15</v>
      </c>
      <c r="O47" s="2">
        <v>1801</v>
      </c>
      <c r="P47" s="2">
        <v>4.3</v>
      </c>
      <c r="Q47" s="4">
        <v>21.76</v>
      </c>
      <c r="R47" s="5">
        <v>1170.04</v>
      </c>
      <c r="S47" s="5">
        <v>25460.07</v>
      </c>
      <c r="T47" s="6">
        <v>4.07E-2</v>
      </c>
      <c r="U47" s="5">
        <v>24423.85</v>
      </c>
      <c r="V47" s="5">
        <v>658.75</v>
      </c>
      <c r="W47" s="6">
        <v>0.15110000000000001</v>
      </c>
      <c r="X47" s="5">
        <v>3690.44</v>
      </c>
      <c r="Y47" s="2" t="s">
        <v>83</v>
      </c>
      <c r="Z47" s="2" t="s">
        <v>106</v>
      </c>
      <c r="AA47" s="2" t="s">
        <v>35</v>
      </c>
    </row>
    <row r="48" spans="1:27">
      <c r="A48" s="2" t="s">
        <v>173</v>
      </c>
      <c r="B48" s="3">
        <v>45418</v>
      </c>
      <c r="C48" s="2">
        <v>2024</v>
      </c>
      <c r="D48" s="2" t="s">
        <v>81</v>
      </c>
      <c r="E48" s="2" t="s">
        <v>49</v>
      </c>
      <c r="F48" s="2" t="s">
        <v>118</v>
      </c>
      <c r="G48" s="2" t="s">
        <v>155</v>
      </c>
      <c r="H48" s="2" t="s">
        <v>31</v>
      </c>
      <c r="I48" s="2" t="s">
        <v>64</v>
      </c>
      <c r="J48" s="2" t="s">
        <v>79</v>
      </c>
      <c r="K48" s="2" t="s">
        <v>43</v>
      </c>
      <c r="L48" s="2" t="s">
        <v>44</v>
      </c>
      <c r="M48" s="2" t="s">
        <v>171</v>
      </c>
      <c r="N48" s="2">
        <v>38.17</v>
      </c>
      <c r="O48" s="2">
        <v>37</v>
      </c>
      <c r="P48" s="2">
        <v>5.6</v>
      </c>
      <c r="Q48" s="4">
        <v>524.58000000000004</v>
      </c>
      <c r="R48" s="5">
        <v>757.69</v>
      </c>
      <c r="S48" s="5">
        <v>397469.02</v>
      </c>
      <c r="T48" s="6">
        <v>3.32E-2</v>
      </c>
      <c r="U48" s="5">
        <v>384273.05</v>
      </c>
      <c r="V48" s="5">
        <v>37948.42</v>
      </c>
      <c r="W48" s="6">
        <v>0.1183</v>
      </c>
      <c r="X48" s="5">
        <v>45459.5</v>
      </c>
      <c r="Y48" s="2" t="s">
        <v>56</v>
      </c>
      <c r="Z48" s="2" t="s">
        <v>57</v>
      </c>
      <c r="AA48" s="2" t="s">
        <v>35</v>
      </c>
    </row>
    <row r="49" spans="1:27">
      <c r="A49" s="2" t="s">
        <v>174</v>
      </c>
      <c r="B49" s="3">
        <v>45549</v>
      </c>
      <c r="C49" s="2">
        <v>2024</v>
      </c>
      <c r="D49" s="2" t="s">
        <v>37</v>
      </c>
      <c r="E49" s="2" t="s">
        <v>28</v>
      </c>
      <c r="F49" s="2" t="s">
        <v>98</v>
      </c>
      <c r="G49" s="2" t="s">
        <v>137</v>
      </c>
      <c r="H49" s="2" t="s">
        <v>40</v>
      </c>
      <c r="I49" s="2" t="s">
        <v>64</v>
      </c>
      <c r="J49" s="2" t="s">
        <v>79</v>
      </c>
      <c r="K49" s="2" t="s">
        <v>43</v>
      </c>
      <c r="L49" s="2" t="s">
        <v>44</v>
      </c>
      <c r="M49" s="2" t="s">
        <v>124</v>
      </c>
      <c r="N49" s="2">
        <v>8.31</v>
      </c>
      <c r="O49" s="2">
        <v>19</v>
      </c>
      <c r="P49" s="2">
        <v>9.8000000000000007</v>
      </c>
      <c r="Q49" s="4">
        <v>670.12</v>
      </c>
      <c r="R49" s="5">
        <v>714.28</v>
      </c>
      <c r="S49" s="5">
        <v>478653.31</v>
      </c>
      <c r="T49" s="6">
        <v>6.6799999999999998E-2</v>
      </c>
      <c r="U49" s="5">
        <v>446679.27</v>
      </c>
      <c r="V49" s="5">
        <v>41241.81</v>
      </c>
      <c r="W49" s="6">
        <v>0.15440000000000001</v>
      </c>
      <c r="X49" s="5">
        <v>68967.28</v>
      </c>
      <c r="Y49" s="2" t="s">
        <v>69</v>
      </c>
      <c r="Z49" s="2" t="s">
        <v>80</v>
      </c>
      <c r="AA49" s="2" t="s">
        <v>35</v>
      </c>
    </row>
    <row r="50" spans="1:27">
      <c r="A50" s="2" t="s">
        <v>175</v>
      </c>
      <c r="B50" s="3">
        <v>45808</v>
      </c>
      <c r="C50" s="2">
        <v>2025</v>
      </c>
      <c r="D50" s="2" t="s">
        <v>81</v>
      </c>
      <c r="E50" s="2" t="s">
        <v>49</v>
      </c>
      <c r="F50" s="2" t="s">
        <v>29</v>
      </c>
      <c r="G50" s="2" t="s">
        <v>95</v>
      </c>
      <c r="H50" s="2" t="s">
        <v>73</v>
      </c>
      <c r="I50" s="2" t="s">
        <v>88</v>
      </c>
      <c r="J50" s="2" t="s">
        <v>42</v>
      </c>
      <c r="K50" s="2" t="s">
        <v>100</v>
      </c>
      <c r="L50" s="2" t="s">
        <v>101</v>
      </c>
      <c r="M50" s="2" t="s">
        <v>108</v>
      </c>
      <c r="N50" s="2">
        <v>10.36</v>
      </c>
      <c r="O50" s="2">
        <v>478</v>
      </c>
      <c r="P50" s="2">
        <v>7.8</v>
      </c>
      <c r="Q50" s="4">
        <v>8.34</v>
      </c>
      <c r="R50" s="5">
        <v>1347.98</v>
      </c>
      <c r="S50" s="5">
        <v>11242.15</v>
      </c>
      <c r="T50" s="6">
        <v>3.7699999999999997E-2</v>
      </c>
      <c r="U50" s="5">
        <v>10818.32</v>
      </c>
      <c r="V50" s="5">
        <v>161.36000000000001</v>
      </c>
      <c r="W50" s="6">
        <v>0.20810000000000001</v>
      </c>
      <c r="X50" s="5">
        <v>2251.29</v>
      </c>
      <c r="Y50" s="2" t="s">
        <v>56</v>
      </c>
      <c r="Z50" s="2" t="s">
        <v>46</v>
      </c>
      <c r="AA50" s="2" t="s">
        <v>35</v>
      </c>
    </row>
    <row r="51" spans="1:27">
      <c r="A51" s="2" t="s">
        <v>176</v>
      </c>
      <c r="B51" s="3">
        <v>45317</v>
      </c>
      <c r="C51" s="2">
        <v>2024</v>
      </c>
      <c r="D51" s="2" t="s">
        <v>71</v>
      </c>
      <c r="E51" s="2" t="s">
        <v>60</v>
      </c>
      <c r="F51" s="2" t="s">
        <v>98</v>
      </c>
      <c r="G51" s="2" t="s">
        <v>137</v>
      </c>
      <c r="H51" s="2" t="s">
        <v>63</v>
      </c>
      <c r="I51" s="2" t="s">
        <v>88</v>
      </c>
      <c r="J51" s="2" t="s">
        <v>65</v>
      </c>
      <c r="K51" s="2" t="s">
        <v>100</v>
      </c>
      <c r="L51" s="2" t="s">
        <v>101</v>
      </c>
      <c r="M51" s="2" t="s">
        <v>102</v>
      </c>
      <c r="N51" s="2">
        <v>4.57</v>
      </c>
      <c r="O51" s="2">
        <v>197</v>
      </c>
      <c r="P51" s="2">
        <v>6.6</v>
      </c>
      <c r="Q51" s="4">
        <v>22.16</v>
      </c>
      <c r="R51" s="5">
        <v>1049.53</v>
      </c>
      <c r="S51" s="5">
        <v>23257.58</v>
      </c>
      <c r="T51" s="6">
        <v>1.4500000000000001E-2</v>
      </c>
      <c r="U51" s="5">
        <v>22920.35</v>
      </c>
      <c r="V51" s="5">
        <v>856.06</v>
      </c>
      <c r="W51" s="6">
        <v>0.19359999999999999</v>
      </c>
      <c r="X51" s="5">
        <v>4437.38</v>
      </c>
      <c r="Y51" s="2" t="s">
        <v>83</v>
      </c>
      <c r="Z51" s="2" t="s">
        <v>46</v>
      </c>
      <c r="AA51" s="2" t="s">
        <v>35</v>
      </c>
    </row>
    <row r="52" spans="1:27">
      <c r="A52" s="2" t="s">
        <v>177</v>
      </c>
      <c r="B52" s="3">
        <v>45937</v>
      </c>
      <c r="C52" s="2">
        <v>2025</v>
      </c>
      <c r="D52" s="2" t="s">
        <v>110</v>
      </c>
      <c r="E52" s="2" t="s">
        <v>77</v>
      </c>
      <c r="F52" s="2" t="s">
        <v>29</v>
      </c>
      <c r="G52" s="2" t="s">
        <v>95</v>
      </c>
      <c r="H52" s="2" t="s">
        <v>73</v>
      </c>
      <c r="I52" s="2" t="s">
        <v>52</v>
      </c>
      <c r="J52" s="2" t="s">
        <v>65</v>
      </c>
      <c r="K52" s="2" t="s">
        <v>100</v>
      </c>
      <c r="L52" s="2" t="s">
        <v>101</v>
      </c>
      <c r="M52" s="2" t="s">
        <v>108</v>
      </c>
      <c r="N52" s="2">
        <v>7.83</v>
      </c>
      <c r="O52" s="2">
        <v>138</v>
      </c>
      <c r="P52" s="2">
        <v>4.5</v>
      </c>
      <c r="Q52" s="4">
        <v>152.66</v>
      </c>
      <c r="R52" s="5">
        <v>1217.3399999999999</v>
      </c>
      <c r="S52" s="5">
        <v>185839.12</v>
      </c>
      <c r="T52" s="6">
        <v>5.0200000000000002E-2</v>
      </c>
      <c r="U52" s="5">
        <v>176510</v>
      </c>
      <c r="V52" s="5">
        <v>6320.29</v>
      </c>
      <c r="W52" s="6">
        <v>0.24579999999999999</v>
      </c>
      <c r="X52" s="5">
        <v>43386.16</v>
      </c>
      <c r="Y52" s="2" t="s">
        <v>83</v>
      </c>
      <c r="Z52" s="2" t="s">
        <v>80</v>
      </c>
      <c r="AA52" s="2" t="s">
        <v>35</v>
      </c>
    </row>
    <row r="53" spans="1:27">
      <c r="A53" s="2" t="s">
        <v>178</v>
      </c>
      <c r="B53" s="3">
        <v>45414</v>
      </c>
      <c r="C53" s="2">
        <v>2024</v>
      </c>
      <c r="D53" s="2" t="s">
        <v>81</v>
      </c>
      <c r="E53" s="2" t="s">
        <v>49</v>
      </c>
      <c r="F53" s="2" t="s">
        <v>38</v>
      </c>
      <c r="G53" s="2" t="s">
        <v>82</v>
      </c>
      <c r="H53" s="2" t="s">
        <v>63</v>
      </c>
      <c r="I53" s="2" t="s">
        <v>41</v>
      </c>
      <c r="J53" s="2" t="s">
        <v>53</v>
      </c>
      <c r="K53" s="2" t="s">
        <v>54</v>
      </c>
      <c r="L53" s="2" t="s">
        <v>54</v>
      </c>
      <c r="M53" s="2" t="s">
        <v>158</v>
      </c>
      <c r="N53" s="2">
        <v>25.05</v>
      </c>
      <c r="O53" s="2">
        <v>1652</v>
      </c>
      <c r="P53" s="2">
        <v>5.0999999999999996</v>
      </c>
      <c r="Q53" s="4">
        <v>125.03</v>
      </c>
      <c r="R53" s="5">
        <v>1135.3699999999999</v>
      </c>
      <c r="S53" s="5">
        <v>141955.31</v>
      </c>
      <c r="T53" s="6">
        <v>2.5399999999999999E-2</v>
      </c>
      <c r="U53" s="5">
        <v>138349.65</v>
      </c>
      <c r="V53" s="5">
        <v>4426.63</v>
      </c>
      <c r="W53" s="6">
        <v>0.17280000000000001</v>
      </c>
      <c r="X53" s="5">
        <v>23906.82</v>
      </c>
      <c r="Y53" s="2" t="s">
        <v>33</v>
      </c>
      <c r="Z53" s="2" t="s">
        <v>46</v>
      </c>
      <c r="AA53" s="2" t="s">
        <v>35</v>
      </c>
    </row>
    <row r="54" spans="1:27">
      <c r="A54" s="2" t="s">
        <v>179</v>
      </c>
      <c r="B54" s="3">
        <v>45373</v>
      </c>
      <c r="C54" s="2">
        <v>2024</v>
      </c>
      <c r="D54" s="2" t="s">
        <v>59</v>
      </c>
      <c r="E54" s="2" t="s">
        <v>60</v>
      </c>
      <c r="F54" s="2" t="s">
        <v>50</v>
      </c>
      <c r="G54" s="2" t="s">
        <v>92</v>
      </c>
      <c r="H54" s="2" t="s">
        <v>73</v>
      </c>
      <c r="I54" s="2" t="s">
        <v>64</v>
      </c>
      <c r="J54" s="2" t="s">
        <v>127</v>
      </c>
      <c r="K54" s="2" t="s">
        <v>54</v>
      </c>
      <c r="L54" s="2" t="s">
        <v>54</v>
      </c>
      <c r="M54" s="2" t="s">
        <v>162</v>
      </c>
      <c r="N54" s="2">
        <v>21.32</v>
      </c>
      <c r="O54" s="2">
        <v>3082</v>
      </c>
      <c r="P54" s="2">
        <v>4.8</v>
      </c>
      <c r="Q54" s="4">
        <v>101.15</v>
      </c>
      <c r="R54" s="5">
        <v>1250.1500000000001</v>
      </c>
      <c r="S54" s="5">
        <v>126452.67</v>
      </c>
      <c r="T54" s="6">
        <v>1.2500000000000001E-2</v>
      </c>
      <c r="U54" s="5">
        <v>124872.01</v>
      </c>
      <c r="V54" s="5">
        <v>2318.7800000000002</v>
      </c>
      <c r="W54" s="6">
        <v>0.1414</v>
      </c>
      <c r="X54" s="5">
        <v>17656.900000000001</v>
      </c>
      <c r="Y54" s="2" t="s">
        <v>83</v>
      </c>
      <c r="Z54" s="2" t="s">
        <v>70</v>
      </c>
      <c r="AA54" s="2" t="s">
        <v>35</v>
      </c>
    </row>
    <row r="55" spans="1:27">
      <c r="A55" s="2" t="s">
        <v>180</v>
      </c>
      <c r="B55" s="3">
        <v>45881</v>
      </c>
      <c r="C55" s="2">
        <v>2025</v>
      </c>
      <c r="D55" s="2" t="s">
        <v>27</v>
      </c>
      <c r="E55" s="2" t="s">
        <v>28</v>
      </c>
      <c r="F55" s="2" t="s">
        <v>86</v>
      </c>
      <c r="G55" s="2" t="s">
        <v>87</v>
      </c>
      <c r="H55" s="2" t="s">
        <v>40</v>
      </c>
      <c r="I55" s="2" t="s">
        <v>74</v>
      </c>
      <c r="J55" s="2" t="s">
        <v>65</v>
      </c>
      <c r="K55" s="2" t="s">
        <v>54</v>
      </c>
      <c r="L55" s="2" t="s">
        <v>54</v>
      </c>
      <c r="M55" s="2" t="s">
        <v>55</v>
      </c>
      <c r="N55" s="2">
        <v>52.71</v>
      </c>
      <c r="O55" s="2">
        <v>2819</v>
      </c>
      <c r="P55" s="2">
        <v>8</v>
      </c>
      <c r="Q55" s="4">
        <v>87.58</v>
      </c>
      <c r="R55" s="5">
        <v>1031.8499999999999</v>
      </c>
      <c r="S55" s="5">
        <v>90369.42</v>
      </c>
      <c r="T55" s="6">
        <v>2.92E-2</v>
      </c>
      <c r="U55" s="5">
        <v>87730.63</v>
      </c>
      <c r="V55" s="5">
        <v>7335.91</v>
      </c>
      <c r="W55" s="6">
        <v>0.24129999999999999</v>
      </c>
      <c r="X55" s="5">
        <v>21169.4</v>
      </c>
      <c r="Y55" s="2" t="s">
        <v>75</v>
      </c>
      <c r="Z55" s="2" t="s">
        <v>46</v>
      </c>
      <c r="AA55" s="2" t="s">
        <v>35</v>
      </c>
    </row>
    <row r="56" spans="1:27">
      <c r="A56" s="2" t="s">
        <v>181</v>
      </c>
      <c r="B56" s="3">
        <v>45781</v>
      </c>
      <c r="C56" s="2">
        <v>2025</v>
      </c>
      <c r="D56" s="2" t="s">
        <v>81</v>
      </c>
      <c r="E56" s="2" t="s">
        <v>49</v>
      </c>
      <c r="F56" s="2" t="s">
        <v>50</v>
      </c>
      <c r="G56" s="2" t="s">
        <v>115</v>
      </c>
      <c r="H56" s="2" t="s">
        <v>73</v>
      </c>
      <c r="I56" s="2" t="s">
        <v>32</v>
      </c>
      <c r="J56" s="2" t="s">
        <v>65</v>
      </c>
      <c r="K56" s="2" t="s">
        <v>66</v>
      </c>
      <c r="L56" s="2" t="s">
        <v>67</v>
      </c>
      <c r="M56" s="2" t="s">
        <v>152</v>
      </c>
      <c r="N56" s="2">
        <v>17.239999999999998</v>
      </c>
      <c r="O56" s="2">
        <v>159</v>
      </c>
      <c r="P56" s="2">
        <v>9.8000000000000007</v>
      </c>
      <c r="Q56" s="4">
        <v>94.13</v>
      </c>
      <c r="R56" s="5">
        <v>1636.79</v>
      </c>
      <c r="S56" s="5">
        <v>154071.04000000001</v>
      </c>
      <c r="T56" s="6">
        <v>1.6400000000000001E-2</v>
      </c>
      <c r="U56" s="5">
        <v>151544.26999999999</v>
      </c>
      <c r="V56" s="5">
        <v>2917.43</v>
      </c>
      <c r="W56" s="6">
        <v>0.28799999999999998</v>
      </c>
      <c r="X56" s="5">
        <v>43644.75</v>
      </c>
      <c r="Y56" s="2" t="s">
        <v>56</v>
      </c>
      <c r="Z56" s="2" t="s">
        <v>57</v>
      </c>
      <c r="AA56" s="2" t="s">
        <v>35</v>
      </c>
    </row>
    <row r="57" spans="1:27">
      <c r="A57" s="2" t="s">
        <v>182</v>
      </c>
      <c r="B57" s="3">
        <v>45312</v>
      </c>
      <c r="C57" s="2">
        <v>2024</v>
      </c>
      <c r="D57" s="2" t="s">
        <v>71</v>
      </c>
      <c r="E57" s="2" t="s">
        <v>60</v>
      </c>
      <c r="F57" s="2" t="s">
        <v>98</v>
      </c>
      <c r="G57" s="2" t="s">
        <v>111</v>
      </c>
      <c r="H57" s="2" t="s">
        <v>31</v>
      </c>
      <c r="I57" s="2" t="s">
        <v>93</v>
      </c>
      <c r="J57" s="2" t="s">
        <v>79</v>
      </c>
      <c r="K57" s="2" t="s">
        <v>100</v>
      </c>
      <c r="L57" s="2" t="s">
        <v>101</v>
      </c>
      <c r="M57" s="2" t="s">
        <v>108</v>
      </c>
      <c r="N57" s="2">
        <v>8.01</v>
      </c>
      <c r="O57" s="2">
        <v>306</v>
      </c>
      <c r="P57" s="2">
        <v>3</v>
      </c>
      <c r="Q57" s="4">
        <v>44.28</v>
      </c>
      <c r="R57" s="5">
        <v>1054.68</v>
      </c>
      <c r="S57" s="5">
        <v>46701.23</v>
      </c>
      <c r="T57" s="6">
        <v>3.8399999999999997E-2</v>
      </c>
      <c r="U57" s="5">
        <v>44907.9</v>
      </c>
      <c r="V57" s="5">
        <v>2473.88</v>
      </c>
      <c r="W57" s="6">
        <v>0.10630000000000001</v>
      </c>
      <c r="X57" s="5">
        <v>4773.71</v>
      </c>
      <c r="Y57" s="2" t="s">
        <v>56</v>
      </c>
      <c r="Z57" s="2" t="s">
        <v>46</v>
      </c>
      <c r="AA57" s="2" t="s">
        <v>35</v>
      </c>
    </row>
    <row r="58" spans="1:27">
      <c r="A58" s="2" t="s">
        <v>183</v>
      </c>
      <c r="B58" s="3">
        <v>46005</v>
      </c>
      <c r="C58" s="2">
        <v>2025</v>
      </c>
      <c r="D58" s="2" t="s">
        <v>97</v>
      </c>
      <c r="E58" s="2" t="s">
        <v>77</v>
      </c>
      <c r="F58" s="2" t="s">
        <v>86</v>
      </c>
      <c r="G58" s="2" t="s">
        <v>117</v>
      </c>
      <c r="H58" s="2" t="s">
        <v>40</v>
      </c>
      <c r="I58" s="2" t="s">
        <v>32</v>
      </c>
      <c r="J58" s="2" t="s">
        <v>65</v>
      </c>
      <c r="K58" s="2" t="s">
        <v>66</v>
      </c>
      <c r="L58" s="2" t="s">
        <v>67</v>
      </c>
      <c r="M58" s="2" t="s">
        <v>68</v>
      </c>
      <c r="N58" s="2">
        <v>7.03</v>
      </c>
      <c r="O58" s="2">
        <v>167</v>
      </c>
      <c r="P58" s="2">
        <v>7.4</v>
      </c>
      <c r="Q58" s="4">
        <v>206.19</v>
      </c>
      <c r="R58" s="5">
        <v>1507.64</v>
      </c>
      <c r="S58" s="5">
        <v>310860.28999999998</v>
      </c>
      <c r="T58" s="6">
        <v>4.0599999999999997E-2</v>
      </c>
      <c r="U58" s="5">
        <v>298239.35999999999</v>
      </c>
      <c r="V58" s="5">
        <v>11845.36</v>
      </c>
      <c r="W58" s="6">
        <v>0.19600000000000001</v>
      </c>
      <c r="X58" s="5">
        <v>58454.91</v>
      </c>
      <c r="Y58" s="2" t="s">
        <v>83</v>
      </c>
      <c r="Z58" s="2" t="s">
        <v>46</v>
      </c>
      <c r="AA58" s="2" t="s">
        <v>35</v>
      </c>
    </row>
    <row r="59" spans="1:27">
      <c r="A59" s="2" t="s">
        <v>184</v>
      </c>
      <c r="B59" s="3">
        <v>45439</v>
      </c>
      <c r="C59" s="2">
        <v>2024</v>
      </c>
      <c r="D59" s="2" t="s">
        <v>81</v>
      </c>
      <c r="E59" s="2" t="s">
        <v>49</v>
      </c>
      <c r="F59" s="2" t="s">
        <v>61</v>
      </c>
      <c r="G59" s="2" t="s">
        <v>132</v>
      </c>
      <c r="H59" s="2" t="s">
        <v>73</v>
      </c>
      <c r="I59" s="2" t="s">
        <v>41</v>
      </c>
      <c r="J59" s="2" t="s">
        <v>127</v>
      </c>
      <c r="K59" s="2" t="s">
        <v>54</v>
      </c>
      <c r="L59" s="2" t="s">
        <v>54</v>
      </c>
      <c r="M59" s="2" t="s">
        <v>55</v>
      </c>
      <c r="N59" s="2">
        <v>38.159999999999997</v>
      </c>
      <c r="O59" s="2">
        <v>2054</v>
      </c>
      <c r="P59" s="2">
        <v>11.2</v>
      </c>
      <c r="Q59" s="4">
        <v>75.25</v>
      </c>
      <c r="R59" s="5">
        <v>1287.33</v>
      </c>
      <c r="S59" s="5">
        <v>96871.58</v>
      </c>
      <c r="T59" s="6">
        <v>4.58E-2</v>
      </c>
      <c r="U59" s="5">
        <v>92434.86</v>
      </c>
      <c r="V59" s="5">
        <v>1923.04</v>
      </c>
      <c r="W59" s="6">
        <v>0.24929999999999999</v>
      </c>
      <c r="X59" s="5">
        <v>23044.01</v>
      </c>
      <c r="Y59" s="2" t="s">
        <v>75</v>
      </c>
      <c r="Z59" s="2" t="s">
        <v>125</v>
      </c>
      <c r="AA59" s="2" t="s">
        <v>35</v>
      </c>
    </row>
    <row r="60" spans="1:27">
      <c r="A60" s="2" t="s">
        <v>185</v>
      </c>
      <c r="B60" s="3">
        <v>45359</v>
      </c>
      <c r="C60" s="2">
        <v>2024</v>
      </c>
      <c r="D60" s="2" t="s">
        <v>59</v>
      </c>
      <c r="E60" s="2" t="s">
        <v>60</v>
      </c>
      <c r="F60" s="2" t="s">
        <v>86</v>
      </c>
      <c r="G60" s="2" t="s">
        <v>134</v>
      </c>
      <c r="H60" s="2" t="s">
        <v>63</v>
      </c>
      <c r="I60" s="2" t="s">
        <v>116</v>
      </c>
      <c r="J60" s="2" t="s">
        <v>79</v>
      </c>
      <c r="K60" s="2" t="s">
        <v>100</v>
      </c>
      <c r="L60" s="2" t="s">
        <v>101</v>
      </c>
      <c r="M60" s="2" t="s">
        <v>102</v>
      </c>
      <c r="N60" s="2">
        <v>11.04</v>
      </c>
      <c r="O60" s="2">
        <v>441</v>
      </c>
      <c r="P60" s="2">
        <v>6.5</v>
      </c>
      <c r="Q60" s="4">
        <v>179.69</v>
      </c>
      <c r="R60" s="5">
        <v>1212.3499999999999</v>
      </c>
      <c r="S60" s="5">
        <v>217847.17</v>
      </c>
      <c r="T60" s="6">
        <v>3.56E-2</v>
      </c>
      <c r="U60" s="5">
        <v>210091.81</v>
      </c>
      <c r="V60" s="5">
        <v>3695.2</v>
      </c>
      <c r="W60" s="6">
        <v>0.23569999999999999</v>
      </c>
      <c r="X60" s="5">
        <v>49518.64</v>
      </c>
      <c r="Y60" s="2" t="s">
        <v>33</v>
      </c>
      <c r="Z60" s="2" t="s">
        <v>34</v>
      </c>
      <c r="AA60" s="2" t="s">
        <v>35</v>
      </c>
    </row>
    <row r="61" spans="1:27">
      <c r="A61" s="2" t="s">
        <v>186</v>
      </c>
      <c r="B61" s="3">
        <v>45686</v>
      </c>
      <c r="C61" s="2">
        <v>2025</v>
      </c>
      <c r="D61" s="2" t="s">
        <v>71</v>
      </c>
      <c r="E61" s="2" t="s">
        <v>60</v>
      </c>
      <c r="F61" s="2" t="s">
        <v>61</v>
      </c>
      <c r="G61" s="2" t="s">
        <v>132</v>
      </c>
      <c r="H61" s="2" t="s">
        <v>31</v>
      </c>
      <c r="I61" s="2" t="s">
        <v>88</v>
      </c>
      <c r="J61" s="2" t="s">
        <v>65</v>
      </c>
      <c r="K61" s="2" t="s">
        <v>66</v>
      </c>
      <c r="L61" s="2" t="s">
        <v>67</v>
      </c>
      <c r="M61" s="2" t="s">
        <v>140</v>
      </c>
      <c r="N61" s="2">
        <v>17.149999999999999</v>
      </c>
      <c r="O61" s="2">
        <v>130</v>
      </c>
      <c r="P61" s="2">
        <v>5.2</v>
      </c>
      <c r="Q61" s="4">
        <v>74.62</v>
      </c>
      <c r="R61" s="5">
        <v>1609.32</v>
      </c>
      <c r="S61" s="5">
        <v>120087.46</v>
      </c>
      <c r="T61" s="6">
        <v>3.9600000000000003E-2</v>
      </c>
      <c r="U61" s="5">
        <v>115332</v>
      </c>
      <c r="V61" s="5">
        <v>4676.6899999999996</v>
      </c>
      <c r="W61" s="6">
        <v>0.15989999999999999</v>
      </c>
      <c r="X61" s="5">
        <v>18441.59</v>
      </c>
      <c r="Y61" s="2" t="s">
        <v>75</v>
      </c>
      <c r="Z61" s="2" t="s">
        <v>34</v>
      </c>
      <c r="AA61" s="2" t="s">
        <v>35</v>
      </c>
    </row>
    <row r="62" spans="1:27">
      <c r="A62" s="2" t="s">
        <v>187</v>
      </c>
      <c r="B62" s="3">
        <v>45374</v>
      </c>
      <c r="C62" s="2">
        <v>2024</v>
      </c>
      <c r="D62" s="2" t="s">
        <v>59</v>
      </c>
      <c r="E62" s="2" t="s">
        <v>60</v>
      </c>
      <c r="F62" s="2" t="s">
        <v>98</v>
      </c>
      <c r="G62" s="2" t="s">
        <v>111</v>
      </c>
      <c r="H62" s="2" t="s">
        <v>40</v>
      </c>
      <c r="I62" s="2" t="s">
        <v>32</v>
      </c>
      <c r="J62" s="2" t="s">
        <v>42</v>
      </c>
      <c r="K62" s="2" t="s">
        <v>100</v>
      </c>
      <c r="L62" s="2" t="s">
        <v>101</v>
      </c>
      <c r="M62" s="2" t="s">
        <v>145</v>
      </c>
      <c r="N62" s="2">
        <v>12.61</v>
      </c>
      <c r="O62" s="2">
        <v>228</v>
      </c>
      <c r="P62" s="2">
        <v>4.2</v>
      </c>
      <c r="Q62" s="4">
        <v>59.2</v>
      </c>
      <c r="R62" s="5">
        <v>1118.6300000000001</v>
      </c>
      <c r="S62" s="5">
        <v>66222.899999999994</v>
      </c>
      <c r="T62" s="6">
        <v>4.2500000000000003E-2</v>
      </c>
      <c r="U62" s="5">
        <v>63408.43</v>
      </c>
      <c r="V62" s="5">
        <v>4555.01</v>
      </c>
      <c r="W62" s="6">
        <v>0.23250000000000001</v>
      </c>
      <c r="X62" s="5">
        <v>14742.46</v>
      </c>
      <c r="Y62" s="2" t="s">
        <v>33</v>
      </c>
      <c r="Z62" s="2" t="s">
        <v>89</v>
      </c>
      <c r="AA62" s="2" t="s">
        <v>35</v>
      </c>
    </row>
    <row r="63" spans="1:27">
      <c r="A63" s="2" t="s">
        <v>188</v>
      </c>
      <c r="B63" s="3">
        <v>45805</v>
      </c>
      <c r="C63" s="2">
        <v>2025</v>
      </c>
      <c r="D63" s="2" t="s">
        <v>81</v>
      </c>
      <c r="E63" s="2" t="s">
        <v>49</v>
      </c>
      <c r="F63" s="2" t="s">
        <v>61</v>
      </c>
      <c r="G63" s="2" t="s">
        <v>132</v>
      </c>
      <c r="H63" s="2" t="s">
        <v>40</v>
      </c>
      <c r="I63" s="2" t="s">
        <v>93</v>
      </c>
      <c r="J63" s="2" t="s">
        <v>65</v>
      </c>
      <c r="K63" s="2" t="s">
        <v>54</v>
      </c>
      <c r="L63" s="2" t="s">
        <v>54</v>
      </c>
      <c r="M63" s="2" t="s">
        <v>94</v>
      </c>
      <c r="N63" s="2">
        <v>44.89</v>
      </c>
      <c r="O63" s="2">
        <v>1267</v>
      </c>
      <c r="P63" s="2">
        <v>5.4</v>
      </c>
      <c r="Q63" s="4">
        <v>238.91</v>
      </c>
      <c r="R63" s="5">
        <v>1178.78</v>
      </c>
      <c r="S63" s="5">
        <v>281622.33</v>
      </c>
      <c r="T63" s="6">
        <v>5.3199999999999997E-2</v>
      </c>
      <c r="U63" s="5">
        <v>266640.02</v>
      </c>
      <c r="V63" s="5">
        <v>13184.72</v>
      </c>
      <c r="W63" s="6">
        <v>0.24640000000000001</v>
      </c>
      <c r="X63" s="5">
        <v>65700.100000000006</v>
      </c>
      <c r="Y63" s="2" t="s">
        <v>56</v>
      </c>
      <c r="Z63" s="2" t="s">
        <v>34</v>
      </c>
      <c r="AA63" s="2" t="s">
        <v>35</v>
      </c>
    </row>
    <row r="64" spans="1:27">
      <c r="A64" s="2" t="s">
        <v>189</v>
      </c>
      <c r="B64" s="3">
        <v>45803</v>
      </c>
      <c r="C64" s="2">
        <v>2025</v>
      </c>
      <c r="D64" s="2" t="s">
        <v>81</v>
      </c>
      <c r="E64" s="2" t="s">
        <v>49</v>
      </c>
      <c r="F64" s="2" t="s">
        <v>50</v>
      </c>
      <c r="G64" s="2" t="s">
        <v>51</v>
      </c>
      <c r="H64" s="2" t="s">
        <v>40</v>
      </c>
      <c r="I64" s="2" t="s">
        <v>32</v>
      </c>
      <c r="J64" s="2" t="s">
        <v>42</v>
      </c>
      <c r="K64" s="2" t="s">
        <v>100</v>
      </c>
      <c r="L64" s="2" t="s">
        <v>101</v>
      </c>
      <c r="M64" s="2" t="s">
        <v>129</v>
      </c>
      <c r="N64" s="2">
        <v>11.71</v>
      </c>
      <c r="O64" s="2">
        <v>577</v>
      </c>
      <c r="P64" s="2">
        <v>3.5</v>
      </c>
      <c r="Q64" s="4">
        <v>123.12</v>
      </c>
      <c r="R64" s="5">
        <v>1292.55</v>
      </c>
      <c r="S64" s="5">
        <v>159138.76</v>
      </c>
      <c r="T64" s="6">
        <v>1.9E-2</v>
      </c>
      <c r="U64" s="5">
        <v>156115.12</v>
      </c>
      <c r="V64" s="5">
        <v>11004.4</v>
      </c>
      <c r="W64" s="6">
        <v>0.20910000000000001</v>
      </c>
      <c r="X64" s="5">
        <v>32643.67</v>
      </c>
      <c r="Y64" s="2" t="s">
        <v>75</v>
      </c>
      <c r="Z64" s="2" t="s">
        <v>89</v>
      </c>
      <c r="AA64" s="2" t="s">
        <v>35</v>
      </c>
    </row>
    <row r="65" spans="1:27">
      <c r="A65" s="2" t="s">
        <v>190</v>
      </c>
      <c r="B65" s="3">
        <v>45834</v>
      </c>
      <c r="C65" s="2">
        <v>2025</v>
      </c>
      <c r="D65" s="2" t="s">
        <v>91</v>
      </c>
      <c r="E65" s="2" t="s">
        <v>49</v>
      </c>
      <c r="F65" s="2" t="s">
        <v>86</v>
      </c>
      <c r="G65" s="2" t="s">
        <v>134</v>
      </c>
      <c r="H65" s="2" t="s">
        <v>63</v>
      </c>
      <c r="I65" s="2" t="s">
        <v>88</v>
      </c>
      <c r="J65" s="2" t="s">
        <v>42</v>
      </c>
      <c r="K65" s="2" t="s">
        <v>100</v>
      </c>
      <c r="L65" s="2" t="s">
        <v>101</v>
      </c>
      <c r="M65" s="2" t="s">
        <v>129</v>
      </c>
      <c r="N65" s="2">
        <v>15.82</v>
      </c>
      <c r="O65" s="2">
        <v>417</v>
      </c>
      <c r="P65" s="2">
        <v>7.4</v>
      </c>
      <c r="Q65" s="4">
        <v>104.15</v>
      </c>
      <c r="R65" s="5">
        <v>1143.47</v>
      </c>
      <c r="S65" s="5">
        <v>119092.4</v>
      </c>
      <c r="T65" s="6">
        <v>3.8800000000000001E-2</v>
      </c>
      <c r="U65" s="5">
        <v>114471.61</v>
      </c>
      <c r="V65" s="5">
        <v>3986.91</v>
      </c>
      <c r="W65" s="6">
        <v>0.19939999999999999</v>
      </c>
      <c r="X65" s="5">
        <v>22825.64</v>
      </c>
      <c r="Y65" s="2" t="s">
        <v>33</v>
      </c>
      <c r="Z65" s="2" t="s">
        <v>46</v>
      </c>
      <c r="AA65" s="2" t="s">
        <v>35</v>
      </c>
    </row>
    <row r="66" spans="1:27">
      <c r="A66" s="2" t="s">
        <v>191</v>
      </c>
      <c r="B66" s="3">
        <v>45685</v>
      </c>
      <c r="C66" s="2">
        <v>2025</v>
      </c>
      <c r="D66" s="2" t="s">
        <v>71</v>
      </c>
      <c r="E66" s="2" t="s">
        <v>60</v>
      </c>
      <c r="F66" s="2" t="s">
        <v>118</v>
      </c>
      <c r="G66" s="2" t="s">
        <v>119</v>
      </c>
      <c r="H66" s="2" t="s">
        <v>31</v>
      </c>
      <c r="I66" s="2" t="s">
        <v>52</v>
      </c>
      <c r="J66" s="2" t="s">
        <v>79</v>
      </c>
      <c r="K66" s="2" t="s">
        <v>43</v>
      </c>
      <c r="L66" s="2" t="s">
        <v>44</v>
      </c>
      <c r="M66" s="2" t="s">
        <v>171</v>
      </c>
      <c r="N66" s="2">
        <v>29.92</v>
      </c>
      <c r="O66" s="2">
        <v>29</v>
      </c>
      <c r="P66" s="2">
        <v>10.199999999999999</v>
      </c>
      <c r="Q66" s="4">
        <v>436.2</v>
      </c>
      <c r="R66" s="5">
        <v>643.16999999999996</v>
      </c>
      <c r="S66" s="5">
        <v>280550.75</v>
      </c>
      <c r="T66" s="6">
        <v>3.5000000000000003E-2</v>
      </c>
      <c r="U66" s="5">
        <v>270731.46999999997</v>
      </c>
      <c r="V66" s="5">
        <v>30511.45</v>
      </c>
      <c r="W66" s="6">
        <v>0.1062</v>
      </c>
      <c r="X66" s="5">
        <v>28751.68</v>
      </c>
      <c r="Y66" s="2" t="s">
        <v>75</v>
      </c>
      <c r="Z66" s="2" t="s">
        <v>34</v>
      </c>
      <c r="AA66" s="2" t="s">
        <v>35</v>
      </c>
    </row>
    <row r="67" spans="1:27">
      <c r="A67" s="2" t="s">
        <v>192</v>
      </c>
      <c r="B67" s="3">
        <v>45537</v>
      </c>
      <c r="C67" s="2">
        <v>2024</v>
      </c>
      <c r="D67" s="2" t="s">
        <v>37</v>
      </c>
      <c r="E67" s="2" t="s">
        <v>28</v>
      </c>
      <c r="F67" s="2" t="s">
        <v>50</v>
      </c>
      <c r="G67" s="2" t="s">
        <v>105</v>
      </c>
      <c r="H67" s="2" t="s">
        <v>63</v>
      </c>
      <c r="I67" s="2" t="s">
        <v>32</v>
      </c>
      <c r="J67" s="2" t="s">
        <v>42</v>
      </c>
      <c r="K67" s="2" t="s">
        <v>100</v>
      </c>
      <c r="L67" s="2" t="s">
        <v>101</v>
      </c>
      <c r="M67" s="2" t="s">
        <v>108</v>
      </c>
      <c r="N67" s="2">
        <v>11.62</v>
      </c>
      <c r="O67" s="2">
        <v>87</v>
      </c>
      <c r="P67" s="2">
        <v>9</v>
      </c>
      <c r="Q67" s="4">
        <v>109.94</v>
      </c>
      <c r="R67" s="5">
        <v>1110.01</v>
      </c>
      <c r="S67" s="5">
        <v>122034.5</v>
      </c>
      <c r="T67" s="6">
        <v>2.2800000000000001E-2</v>
      </c>
      <c r="U67" s="5">
        <v>119252.11</v>
      </c>
      <c r="V67" s="5">
        <v>3799.24</v>
      </c>
      <c r="W67" s="6">
        <v>0.1774</v>
      </c>
      <c r="X67" s="5">
        <v>21155.32</v>
      </c>
      <c r="Y67" s="2" t="s">
        <v>56</v>
      </c>
      <c r="Z67" s="2" t="s">
        <v>80</v>
      </c>
      <c r="AA67" s="2" t="s">
        <v>35</v>
      </c>
    </row>
    <row r="68" spans="1:27">
      <c r="A68" s="2" t="s">
        <v>193</v>
      </c>
      <c r="B68" s="3">
        <v>45331</v>
      </c>
      <c r="C68" s="2">
        <v>2024</v>
      </c>
      <c r="D68" s="2" t="s">
        <v>113</v>
      </c>
      <c r="E68" s="2" t="s">
        <v>60</v>
      </c>
      <c r="F68" s="2" t="s">
        <v>86</v>
      </c>
      <c r="G68" s="2" t="s">
        <v>117</v>
      </c>
      <c r="H68" s="2" t="s">
        <v>40</v>
      </c>
      <c r="I68" s="2" t="s">
        <v>88</v>
      </c>
      <c r="J68" s="2" t="s">
        <v>65</v>
      </c>
      <c r="K68" s="2" t="s">
        <v>54</v>
      </c>
      <c r="L68" s="2" t="s">
        <v>54</v>
      </c>
      <c r="M68" s="2" t="s">
        <v>55</v>
      </c>
      <c r="N68" s="2">
        <v>65.260000000000005</v>
      </c>
      <c r="O68" s="2">
        <v>1956</v>
      </c>
      <c r="P68" s="2">
        <v>5.5</v>
      </c>
      <c r="Q68" s="4">
        <v>161.46</v>
      </c>
      <c r="R68" s="5">
        <v>1140.2</v>
      </c>
      <c r="S68" s="5">
        <v>184096.69</v>
      </c>
      <c r="T68" s="6">
        <v>3.1300000000000001E-2</v>
      </c>
      <c r="U68" s="5">
        <v>178334.46</v>
      </c>
      <c r="V68" s="5">
        <v>14004.93</v>
      </c>
      <c r="W68" s="6">
        <v>0.21779999999999999</v>
      </c>
      <c r="X68" s="5">
        <v>38841.25</v>
      </c>
      <c r="Y68" s="2" t="s">
        <v>75</v>
      </c>
      <c r="Z68" s="2" t="s">
        <v>46</v>
      </c>
      <c r="AA68" s="2" t="s">
        <v>35</v>
      </c>
    </row>
    <row r="69" spans="1:27">
      <c r="A69" s="2" t="s">
        <v>194</v>
      </c>
      <c r="B69" s="3">
        <v>45941</v>
      </c>
      <c r="C69" s="2">
        <v>2025</v>
      </c>
      <c r="D69" s="2" t="s">
        <v>110</v>
      </c>
      <c r="E69" s="2" t="s">
        <v>77</v>
      </c>
      <c r="F69" s="2" t="s">
        <v>118</v>
      </c>
      <c r="G69" s="2" t="s">
        <v>121</v>
      </c>
      <c r="H69" s="2" t="s">
        <v>31</v>
      </c>
      <c r="I69" s="2" t="s">
        <v>52</v>
      </c>
      <c r="J69" s="2" t="s">
        <v>42</v>
      </c>
      <c r="K69" s="2" t="s">
        <v>43</v>
      </c>
      <c r="L69" s="2" t="s">
        <v>44</v>
      </c>
      <c r="M69" s="2" t="s">
        <v>85</v>
      </c>
      <c r="N69" s="2">
        <v>26.49</v>
      </c>
      <c r="O69" s="2">
        <v>33</v>
      </c>
      <c r="P69" s="2">
        <v>10</v>
      </c>
      <c r="Q69" s="4">
        <v>514.91</v>
      </c>
      <c r="R69" s="5">
        <v>668.52</v>
      </c>
      <c r="S69" s="5">
        <v>344227.63</v>
      </c>
      <c r="T69" s="6">
        <v>7.3499999999999996E-2</v>
      </c>
      <c r="U69" s="5">
        <v>318926.90000000002</v>
      </c>
      <c r="V69" s="5">
        <v>34029.06</v>
      </c>
      <c r="W69" s="6">
        <v>0.18240000000000001</v>
      </c>
      <c r="X69" s="5">
        <v>58172.27</v>
      </c>
      <c r="Y69" s="2" t="s">
        <v>69</v>
      </c>
      <c r="Z69" s="2" t="s">
        <v>70</v>
      </c>
      <c r="AA69" s="2" t="s">
        <v>35</v>
      </c>
    </row>
    <row r="70" spans="1:27">
      <c r="A70" s="2" t="s">
        <v>195</v>
      </c>
      <c r="B70" s="3">
        <v>45595</v>
      </c>
      <c r="C70" s="2">
        <v>2024</v>
      </c>
      <c r="D70" s="2" t="s">
        <v>110</v>
      </c>
      <c r="E70" s="2" t="s">
        <v>77</v>
      </c>
      <c r="F70" s="2" t="s">
        <v>98</v>
      </c>
      <c r="G70" s="2" t="s">
        <v>99</v>
      </c>
      <c r="H70" s="2" t="s">
        <v>40</v>
      </c>
      <c r="I70" s="2" t="s">
        <v>32</v>
      </c>
      <c r="J70" s="2" t="s">
        <v>42</v>
      </c>
      <c r="K70" s="2" t="s">
        <v>43</v>
      </c>
      <c r="L70" s="2" t="s">
        <v>44</v>
      </c>
      <c r="M70" s="2" t="s">
        <v>171</v>
      </c>
      <c r="N70" s="2">
        <v>13</v>
      </c>
      <c r="O70" s="2">
        <v>32</v>
      </c>
      <c r="P70" s="2">
        <v>11.4</v>
      </c>
      <c r="Q70" s="4">
        <v>615</v>
      </c>
      <c r="R70" s="5">
        <v>713.15</v>
      </c>
      <c r="S70" s="5">
        <v>438587.25</v>
      </c>
      <c r="T70" s="6">
        <v>4.1700000000000001E-2</v>
      </c>
      <c r="U70" s="5">
        <v>420298.16</v>
      </c>
      <c r="V70" s="5">
        <v>54493.06</v>
      </c>
      <c r="W70" s="6">
        <v>0.1139</v>
      </c>
      <c r="X70" s="5">
        <v>47871.96</v>
      </c>
      <c r="Y70" s="2" t="s">
        <v>69</v>
      </c>
      <c r="Z70" s="2" t="s">
        <v>125</v>
      </c>
      <c r="AA70" s="2" t="s">
        <v>35</v>
      </c>
    </row>
    <row r="71" spans="1:27">
      <c r="A71" s="2" t="s">
        <v>196</v>
      </c>
      <c r="B71" s="3">
        <v>45387</v>
      </c>
      <c r="C71" s="2">
        <v>2024</v>
      </c>
      <c r="D71" s="2" t="s">
        <v>48</v>
      </c>
      <c r="E71" s="2" t="s">
        <v>49</v>
      </c>
      <c r="F71" s="2" t="s">
        <v>50</v>
      </c>
      <c r="G71" s="2" t="s">
        <v>51</v>
      </c>
      <c r="H71" s="2" t="s">
        <v>40</v>
      </c>
      <c r="I71" s="2" t="s">
        <v>41</v>
      </c>
      <c r="J71" s="2" t="s">
        <v>79</v>
      </c>
      <c r="K71" s="2" t="s">
        <v>43</v>
      </c>
      <c r="L71" s="2" t="s">
        <v>44</v>
      </c>
      <c r="M71" s="2" t="s">
        <v>124</v>
      </c>
      <c r="N71" s="2">
        <v>39.96</v>
      </c>
      <c r="O71" s="2">
        <v>20</v>
      </c>
      <c r="P71" s="2">
        <v>9.1</v>
      </c>
      <c r="Q71" s="4">
        <v>716.68</v>
      </c>
      <c r="R71" s="5">
        <v>864.16</v>
      </c>
      <c r="S71" s="5">
        <v>619326.18999999994</v>
      </c>
      <c r="T71" s="6">
        <v>5.7299999999999997E-2</v>
      </c>
      <c r="U71" s="5">
        <v>583838.80000000005</v>
      </c>
      <c r="V71" s="5">
        <v>57001.52</v>
      </c>
      <c r="W71" s="6">
        <v>0.1744</v>
      </c>
      <c r="X71" s="5">
        <v>101821.49</v>
      </c>
      <c r="Y71" s="2" t="s">
        <v>56</v>
      </c>
      <c r="Z71" s="2" t="s">
        <v>70</v>
      </c>
      <c r="AA71" s="2" t="s">
        <v>35</v>
      </c>
    </row>
    <row r="72" spans="1:27">
      <c r="A72" s="2" t="s">
        <v>197</v>
      </c>
      <c r="B72" s="3">
        <v>45571</v>
      </c>
      <c r="C72" s="2">
        <v>2024</v>
      </c>
      <c r="D72" s="2" t="s">
        <v>110</v>
      </c>
      <c r="E72" s="2" t="s">
        <v>77</v>
      </c>
      <c r="F72" s="2" t="s">
        <v>118</v>
      </c>
      <c r="G72" s="2" t="s">
        <v>121</v>
      </c>
      <c r="H72" s="2" t="s">
        <v>73</v>
      </c>
      <c r="I72" s="2" t="s">
        <v>88</v>
      </c>
      <c r="J72" s="2" t="s">
        <v>42</v>
      </c>
      <c r="K72" s="2" t="s">
        <v>43</v>
      </c>
      <c r="L72" s="2" t="s">
        <v>44</v>
      </c>
      <c r="M72" s="2" t="s">
        <v>85</v>
      </c>
      <c r="N72" s="2">
        <v>35.26</v>
      </c>
      <c r="O72" s="2">
        <v>18</v>
      </c>
      <c r="P72" s="2">
        <v>3.4</v>
      </c>
      <c r="Q72" s="4">
        <v>387.05</v>
      </c>
      <c r="R72" s="5">
        <v>749.25</v>
      </c>
      <c r="S72" s="5">
        <v>289997.21000000002</v>
      </c>
      <c r="T72" s="6">
        <v>5.1700000000000003E-2</v>
      </c>
      <c r="U72" s="5">
        <v>275004.34999999998</v>
      </c>
      <c r="V72" s="5">
        <v>15332.71</v>
      </c>
      <c r="W72" s="6">
        <v>0.217</v>
      </c>
      <c r="X72" s="5">
        <v>59675.94</v>
      </c>
      <c r="Y72" s="2" t="s">
        <v>69</v>
      </c>
      <c r="Z72" s="2" t="s">
        <v>46</v>
      </c>
      <c r="AA72" s="2" t="s">
        <v>35</v>
      </c>
    </row>
    <row r="73" spans="1:27">
      <c r="A73" s="2" t="s">
        <v>198</v>
      </c>
      <c r="B73" s="3">
        <v>45539</v>
      </c>
      <c r="C73" s="2">
        <v>2024</v>
      </c>
      <c r="D73" s="2" t="s">
        <v>37</v>
      </c>
      <c r="E73" s="2" t="s">
        <v>28</v>
      </c>
      <c r="F73" s="2" t="s">
        <v>38</v>
      </c>
      <c r="G73" s="2" t="s">
        <v>82</v>
      </c>
      <c r="H73" s="2" t="s">
        <v>40</v>
      </c>
      <c r="I73" s="2" t="s">
        <v>41</v>
      </c>
      <c r="J73" s="2" t="s">
        <v>42</v>
      </c>
      <c r="K73" s="2" t="s">
        <v>100</v>
      </c>
      <c r="L73" s="2" t="s">
        <v>101</v>
      </c>
      <c r="M73" s="2" t="s">
        <v>102</v>
      </c>
      <c r="N73" s="2">
        <v>11.16</v>
      </c>
      <c r="O73" s="2">
        <v>106</v>
      </c>
      <c r="P73" s="2">
        <v>5.8</v>
      </c>
      <c r="Q73" s="4">
        <v>160.12</v>
      </c>
      <c r="R73" s="5">
        <v>1202.45</v>
      </c>
      <c r="S73" s="5">
        <v>192536.29</v>
      </c>
      <c r="T73" s="6">
        <v>2.3300000000000001E-2</v>
      </c>
      <c r="U73" s="5">
        <v>188050.19</v>
      </c>
      <c r="V73" s="5">
        <v>8735.99</v>
      </c>
      <c r="W73" s="6">
        <v>0.22819999999999999</v>
      </c>
      <c r="X73" s="5">
        <v>42913.05</v>
      </c>
      <c r="Y73" s="2" t="s">
        <v>56</v>
      </c>
      <c r="Z73" s="2" t="s">
        <v>89</v>
      </c>
      <c r="AA73" s="2" t="s">
        <v>35</v>
      </c>
    </row>
    <row r="74" spans="1:27">
      <c r="A74" s="2" t="s">
        <v>199</v>
      </c>
      <c r="B74" s="3">
        <v>45785</v>
      </c>
      <c r="C74" s="2">
        <v>2025</v>
      </c>
      <c r="D74" s="2" t="s">
        <v>81</v>
      </c>
      <c r="E74" s="2" t="s">
        <v>49</v>
      </c>
      <c r="F74" s="2" t="s">
        <v>38</v>
      </c>
      <c r="G74" s="2" t="s">
        <v>72</v>
      </c>
      <c r="H74" s="2" t="s">
        <v>31</v>
      </c>
      <c r="I74" s="2" t="s">
        <v>88</v>
      </c>
      <c r="J74" s="2" t="s">
        <v>79</v>
      </c>
      <c r="K74" s="2" t="s">
        <v>100</v>
      </c>
      <c r="L74" s="2" t="s">
        <v>101</v>
      </c>
      <c r="M74" s="2" t="s">
        <v>102</v>
      </c>
      <c r="N74" s="2">
        <v>7.74</v>
      </c>
      <c r="O74" s="2">
        <v>156</v>
      </c>
      <c r="P74" s="2">
        <v>11</v>
      </c>
      <c r="Q74" s="4">
        <v>35.909999999999997</v>
      </c>
      <c r="R74" s="5">
        <v>1250.43</v>
      </c>
      <c r="S74" s="5">
        <v>44902.94</v>
      </c>
      <c r="T74" s="6">
        <v>5.0700000000000002E-2</v>
      </c>
      <c r="U74" s="5">
        <v>42626.36</v>
      </c>
      <c r="V74" s="5">
        <v>2190.7199999999998</v>
      </c>
      <c r="W74" s="6">
        <v>0.185</v>
      </c>
      <c r="X74" s="5">
        <v>7885.88</v>
      </c>
      <c r="Y74" s="2" t="s">
        <v>69</v>
      </c>
      <c r="Z74" s="2" t="s">
        <v>46</v>
      </c>
      <c r="AA74" s="2" t="s">
        <v>35</v>
      </c>
    </row>
    <row r="75" spans="1:27">
      <c r="A75" s="2" t="s">
        <v>200</v>
      </c>
      <c r="B75" s="3">
        <v>45483</v>
      </c>
      <c r="C75" s="2">
        <v>2024</v>
      </c>
      <c r="D75" s="2" t="s">
        <v>104</v>
      </c>
      <c r="E75" s="2" t="s">
        <v>28</v>
      </c>
      <c r="F75" s="2" t="s">
        <v>118</v>
      </c>
      <c r="G75" s="2" t="s">
        <v>119</v>
      </c>
      <c r="H75" s="2" t="s">
        <v>31</v>
      </c>
      <c r="I75" s="2" t="s">
        <v>52</v>
      </c>
      <c r="J75" s="2" t="s">
        <v>79</v>
      </c>
      <c r="K75" s="2" t="s">
        <v>43</v>
      </c>
      <c r="L75" s="2" t="s">
        <v>44</v>
      </c>
      <c r="M75" s="2" t="s">
        <v>85</v>
      </c>
      <c r="N75" s="2">
        <v>8.39</v>
      </c>
      <c r="O75" s="2">
        <v>17</v>
      </c>
      <c r="P75" s="2">
        <v>4.0999999999999996</v>
      </c>
      <c r="Q75" s="4">
        <v>54.28</v>
      </c>
      <c r="R75" s="5">
        <v>650</v>
      </c>
      <c r="S75" s="5">
        <v>35282</v>
      </c>
      <c r="T75" s="6">
        <v>6.2199999999999998E-2</v>
      </c>
      <c r="U75" s="5">
        <v>33087.46</v>
      </c>
      <c r="V75" s="5">
        <v>5034.21</v>
      </c>
      <c r="W75" s="6">
        <v>0.1913</v>
      </c>
      <c r="X75" s="5">
        <v>6329.63</v>
      </c>
      <c r="Y75" s="2" t="s">
        <v>83</v>
      </c>
      <c r="Z75" s="2" t="s">
        <v>34</v>
      </c>
      <c r="AA75" s="2" t="s">
        <v>35</v>
      </c>
    </row>
    <row r="76" spans="1:27">
      <c r="A76" s="2" t="s">
        <v>201</v>
      </c>
      <c r="B76" s="3">
        <v>45528</v>
      </c>
      <c r="C76" s="2">
        <v>2024</v>
      </c>
      <c r="D76" s="2" t="s">
        <v>27</v>
      </c>
      <c r="E76" s="2" t="s">
        <v>28</v>
      </c>
      <c r="F76" s="2" t="s">
        <v>61</v>
      </c>
      <c r="G76" s="2" t="s">
        <v>132</v>
      </c>
      <c r="H76" s="2" t="s">
        <v>40</v>
      </c>
      <c r="I76" s="2" t="s">
        <v>52</v>
      </c>
      <c r="J76" s="2" t="s">
        <v>42</v>
      </c>
      <c r="K76" s="2" t="s">
        <v>43</v>
      </c>
      <c r="L76" s="2" t="s">
        <v>44</v>
      </c>
      <c r="M76" s="2" t="s">
        <v>124</v>
      </c>
      <c r="N76" s="2">
        <v>31.08</v>
      </c>
      <c r="O76" s="2">
        <v>27</v>
      </c>
      <c r="P76" s="2">
        <v>9.8000000000000007</v>
      </c>
      <c r="Q76" s="4">
        <v>148.46</v>
      </c>
      <c r="R76" s="5">
        <v>836.25</v>
      </c>
      <c r="S76" s="5">
        <v>124149.68</v>
      </c>
      <c r="T76" s="6">
        <v>3.6299999999999999E-2</v>
      </c>
      <c r="U76" s="5">
        <v>119643.05</v>
      </c>
      <c r="V76" s="5">
        <v>12566.82</v>
      </c>
      <c r="W76" s="6">
        <v>0.217</v>
      </c>
      <c r="X76" s="5">
        <v>25962.54</v>
      </c>
      <c r="Y76" s="2" t="s">
        <v>56</v>
      </c>
      <c r="Z76" s="2" t="s">
        <v>89</v>
      </c>
      <c r="AA76" s="2" t="s">
        <v>35</v>
      </c>
    </row>
    <row r="77" spans="1:27">
      <c r="A77" s="2" t="s">
        <v>202</v>
      </c>
      <c r="B77" s="3">
        <v>45579</v>
      </c>
      <c r="C77" s="2">
        <v>2024</v>
      </c>
      <c r="D77" s="2" t="s">
        <v>110</v>
      </c>
      <c r="E77" s="2" t="s">
        <v>77</v>
      </c>
      <c r="F77" s="2" t="s">
        <v>50</v>
      </c>
      <c r="G77" s="2" t="s">
        <v>51</v>
      </c>
      <c r="H77" s="2" t="s">
        <v>40</v>
      </c>
      <c r="I77" s="2" t="s">
        <v>41</v>
      </c>
      <c r="J77" s="2" t="s">
        <v>65</v>
      </c>
      <c r="K77" s="2" t="s">
        <v>54</v>
      </c>
      <c r="L77" s="2" t="s">
        <v>54</v>
      </c>
      <c r="M77" s="2" t="s">
        <v>94</v>
      </c>
      <c r="N77" s="2">
        <v>12.12</v>
      </c>
      <c r="O77" s="2">
        <v>3168</v>
      </c>
      <c r="P77" s="2">
        <v>8.3000000000000007</v>
      </c>
      <c r="Q77" s="4">
        <v>123.29</v>
      </c>
      <c r="R77" s="5">
        <v>1223.07</v>
      </c>
      <c r="S77" s="5">
        <v>150792.29999999999</v>
      </c>
      <c r="T77" s="6">
        <v>2.8299999999999999E-2</v>
      </c>
      <c r="U77" s="5">
        <v>146524.88</v>
      </c>
      <c r="V77" s="5">
        <v>9549.18</v>
      </c>
      <c r="W77" s="6">
        <v>0.24660000000000001</v>
      </c>
      <c r="X77" s="5">
        <v>36133.040000000001</v>
      </c>
      <c r="Y77" s="2" t="s">
        <v>56</v>
      </c>
      <c r="Z77" s="2" t="s">
        <v>106</v>
      </c>
      <c r="AA77" s="2" t="s">
        <v>35</v>
      </c>
    </row>
    <row r="78" spans="1:27">
      <c r="A78" s="2" t="s">
        <v>203</v>
      </c>
      <c r="B78" s="3">
        <v>45348</v>
      </c>
      <c r="C78" s="2">
        <v>2024</v>
      </c>
      <c r="D78" s="2" t="s">
        <v>113</v>
      </c>
      <c r="E78" s="2" t="s">
        <v>60</v>
      </c>
      <c r="F78" s="2" t="s">
        <v>61</v>
      </c>
      <c r="G78" s="2" t="s">
        <v>62</v>
      </c>
      <c r="H78" s="2" t="s">
        <v>73</v>
      </c>
      <c r="I78" s="2" t="s">
        <v>116</v>
      </c>
      <c r="J78" s="2" t="s">
        <v>65</v>
      </c>
      <c r="K78" s="2" t="s">
        <v>100</v>
      </c>
      <c r="L78" s="2" t="s">
        <v>101</v>
      </c>
      <c r="M78" s="2" t="s">
        <v>129</v>
      </c>
      <c r="N78" s="2">
        <v>7.16</v>
      </c>
      <c r="O78" s="2">
        <v>516</v>
      </c>
      <c r="P78" s="2">
        <v>4.5999999999999996</v>
      </c>
      <c r="Q78" s="4">
        <v>14.95</v>
      </c>
      <c r="R78" s="5">
        <v>1246.19</v>
      </c>
      <c r="S78" s="5">
        <v>18630.54</v>
      </c>
      <c r="T78" s="6">
        <v>4.9599999999999998E-2</v>
      </c>
      <c r="U78" s="5">
        <v>17706.47</v>
      </c>
      <c r="V78" s="5">
        <v>447.53</v>
      </c>
      <c r="W78" s="6">
        <v>0.1123</v>
      </c>
      <c r="X78" s="5">
        <v>1988.44</v>
      </c>
      <c r="Y78" s="2" t="s">
        <v>33</v>
      </c>
      <c r="Z78" s="2" t="s">
        <v>57</v>
      </c>
      <c r="AA78" s="2" t="s">
        <v>35</v>
      </c>
    </row>
    <row r="79" spans="1:27">
      <c r="A79" s="2" t="s">
        <v>204</v>
      </c>
      <c r="B79" s="3">
        <v>45932</v>
      </c>
      <c r="C79" s="2">
        <v>2025</v>
      </c>
      <c r="D79" s="2" t="s">
        <v>110</v>
      </c>
      <c r="E79" s="2" t="s">
        <v>77</v>
      </c>
      <c r="F79" s="2" t="s">
        <v>86</v>
      </c>
      <c r="G79" s="2" t="s">
        <v>87</v>
      </c>
      <c r="H79" s="2" t="s">
        <v>63</v>
      </c>
      <c r="I79" s="2" t="s">
        <v>41</v>
      </c>
      <c r="J79" s="2" t="s">
        <v>65</v>
      </c>
      <c r="K79" s="2" t="s">
        <v>66</v>
      </c>
      <c r="L79" s="2" t="s">
        <v>67</v>
      </c>
      <c r="M79" s="2" t="s">
        <v>152</v>
      </c>
      <c r="N79" s="2">
        <v>5.69</v>
      </c>
      <c r="O79" s="2">
        <v>204</v>
      </c>
      <c r="P79" s="2">
        <v>7.2</v>
      </c>
      <c r="Q79" s="4">
        <v>48.16</v>
      </c>
      <c r="R79" s="5">
        <v>1580.73</v>
      </c>
      <c r="S79" s="5">
        <v>76127.960000000006</v>
      </c>
      <c r="T79" s="6">
        <v>5.1999999999999998E-2</v>
      </c>
      <c r="U79" s="5">
        <v>72169.31</v>
      </c>
      <c r="V79" s="5">
        <v>1466.37</v>
      </c>
      <c r="W79" s="6">
        <v>0.29749999999999999</v>
      </c>
      <c r="X79" s="5">
        <v>21470.37</v>
      </c>
      <c r="Y79" s="2" t="s">
        <v>56</v>
      </c>
      <c r="Z79" s="2" t="s">
        <v>80</v>
      </c>
      <c r="AA79" s="2" t="s">
        <v>35</v>
      </c>
    </row>
    <row r="80" spans="1:27">
      <c r="A80" s="2" t="s">
        <v>205</v>
      </c>
      <c r="B80" s="3">
        <v>45964</v>
      </c>
      <c r="C80" s="2">
        <v>2025</v>
      </c>
      <c r="D80" s="2" t="s">
        <v>76</v>
      </c>
      <c r="E80" s="2" t="s">
        <v>77</v>
      </c>
      <c r="F80" s="2" t="s">
        <v>61</v>
      </c>
      <c r="G80" s="2" t="s">
        <v>62</v>
      </c>
      <c r="H80" s="2" t="s">
        <v>63</v>
      </c>
      <c r="I80" s="2" t="s">
        <v>52</v>
      </c>
      <c r="J80" s="2" t="s">
        <v>65</v>
      </c>
      <c r="K80" s="2" t="s">
        <v>66</v>
      </c>
      <c r="L80" s="2" t="s">
        <v>67</v>
      </c>
      <c r="M80" s="2" t="s">
        <v>152</v>
      </c>
      <c r="N80" s="2">
        <v>12.82</v>
      </c>
      <c r="O80" s="2">
        <v>215</v>
      </c>
      <c r="P80" s="2">
        <v>4.8</v>
      </c>
      <c r="Q80" s="4">
        <v>52.34</v>
      </c>
      <c r="R80" s="5">
        <v>1589.22</v>
      </c>
      <c r="S80" s="5">
        <v>83179.77</v>
      </c>
      <c r="T80" s="6">
        <v>4.65E-2</v>
      </c>
      <c r="U80" s="5">
        <v>79311.91</v>
      </c>
      <c r="V80" s="5">
        <v>1846.14</v>
      </c>
      <c r="W80" s="6">
        <v>0.30180000000000001</v>
      </c>
      <c r="X80" s="5">
        <v>23936.33</v>
      </c>
      <c r="Y80" s="2" t="s">
        <v>56</v>
      </c>
      <c r="Z80" s="2" t="s">
        <v>125</v>
      </c>
      <c r="AA80" s="2" t="s">
        <v>35</v>
      </c>
    </row>
    <row r="81" spans="1:27">
      <c r="A81" s="2" t="s">
        <v>206</v>
      </c>
      <c r="B81" s="3">
        <v>45927</v>
      </c>
      <c r="C81" s="2">
        <v>2025</v>
      </c>
      <c r="D81" s="2" t="s">
        <v>37</v>
      </c>
      <c r="E81" s="2" t="s">
        <v>28</v>
      </c>
      <c r="F81" s="2" t="s">
        <v>98</v>
      </c>
      <c r="G81" s="2" t="s">
        <v>111</v>
      </c>
      <c r="H81" s="2" t="s">
        <v>31</v>
      </c>
      <c r="I81" s="2" t="s">
        <v>52</v>
      </c>
      <c r="J81" s="2" t="s">
        <v>65</v>
      </c>
      <c r="K81" s="2" t="s">
        <v>66</v>
      </c>
      <c r="L81" s="2" t="s">
        <v>67</v>
      </c>
      <c r="M81" s="2" t="s">
        <v>122</v>
      </c>
      <c r="N81" s="2">
        <v>13.6</v>
      </c>
      <c r="O81" s="2">
        <v>87</v>
      </c>
      <c r="P81" s="2">
        <v>8</v>
      </c>
      <c r="Q81" s="4">
        <v>44.74</v>
      </c>
      <c r="R81" s="5">
        <v>1544.58</v>
      </c>
      <c r="S81" s="5">
        <v>69104.509999999995</v>
      </c>
      <c r="T81" s="6">
        <v>4.8500000000000001E-2</v>
      </c>
      <c r="U81" s="5">
        <v>65752.94</v>
      </c>
      <c r="V81" s="5">
        <v>3916</v>
      </c>
      <c r="W81" s="6">
        <v>0.2097</v>
      </c>
      <c r="X81" s="5">
        <v>13788.39</v>
      </c>
      <c r="Y81" s="2" t="s">
        <v>83</v>
      </c>
      <c r="Z81" s="2" t="s">
        <v>46</v>
      </c>
      <c r="AA81" s="2" t="s">
        <v>35</v>
      </c>
    </row>
    <row r="82" spans="1:27">
      <c r="A82" s="2" t="s">
        <v>207</v>
      </c>
      <c r="B82" s="3">
        <v>45292</v>
      </c>
      <c r="C82" s="2">
        <v>2024</v>
      </c>
      <c r="D82" s="2" t="s">
        <v>71</v>
      </c>
      <c r="E82" s="2" t="s">
        <v>60</v>
      </c>
      <c r="F82" s="2" t="s">
        <v>61</v>
      </c>
      <c r="G82" s="2" t="s">
        <v>114</v>
      </c>
      <c r="H82" s="2" t="s">
        <v>73</v>
      </c>
      <c r="I82" s="2" t="s">
        <v>88</v>
      </c>
      <c r="J82" s="2" t="s">
        <v>127</v>
      </c>
      <c r="K82" s="2" t="s">
        <v>54</v>
      </c>
      <c r="L82" s="2" t="s">
        <v>54</v>
      </c>
      <c r="M82" s="2" t="s">
        <v>158</v>
      </c>
      <c r="N82" s="2">
        <v>45.09</v>
      </c>
      <c r="O82" s="2">
        <v>2241</v>
      </c>
      <c r="P82" s="2">
        <v>5.7</v>
      </c>
      <c r="Q82" s="4">
        <v>62.26</v>
      </c>
      <c r="R82" s="5">
        <v>1099.97</v>
      </c>
      <c r="S82" s="5">
        <v>68484.13</v>
      </c>
      <c r="T82" s="6">
        <v>1.84E-2</v>
      </c>
      <c r="U82" s="5">
        <v>67224.02</v>
      </c>
      <c r="V82" s="5">
        <v>1681.17</v>
      </c>
      <c r="W82" s="6">
        <v>0.19500000000000001</v>
      </c>
      <c r="X82" s="5">
        <v>13108.68</v>
      </c>
      <c r="Y82" s="2" t="s">
        <v>69</v>
      </c>
      <c r="Z82" s="2" t="s">
        <v>89</v>
      </c>
      <c r="AA82" s="2" t="s">
        <v>35</v>
      </c>
    </row>
    <row r="83" spans="1:27">
      <c r="A83" s="2" t="s">
        <v>208</v>
      </c>
      <c r="B83" s="3">
        <v>45537</v>
      </c>
      <c r="C83" s="2">
        <v>2024</v>
      </c>
      <c r="D83" s="2" t="s">
        <v>37</v>
      </c>
      <c r="E83" s="2" t="s">
        <v>28</v>
      </c>
      <c r="F83" s="2" t="s">
        <v>118</v>
      </c>
      <c r="G83" s="2" t="s">
        <v>119</v>
      </c>
      <c r="H83" s="2" t="s">
        <v>31</v>
      </c>
      <c r="I83" s="2" t="s">
        <v>64</v>
      </c>
      <c r="J83" s="2" t="s">
        <v>65</v>
      </c>
      <c r="K83" s="2" t="s">
        <v>100</v>
      </c>
      <c r="L83" s="2" t="s">
        <v>101</v>
      </c>
      <c r="M83" s="2" t="s">
        <v>129</v>
      </c>
      <c r="N83" s="2">
        <v>2.93</v>
      </c>
      <c r="O83" s="2">
        <v>451</v>
      </c>
      <c r="P83" s="2">
        <v>11.3</v>
      </c>
      <c r="Q83" s="4">
        <v>174.82</v>
      </c>
      <c r="R83" s="5">
        <v>1024.9000000000001</v>
      </c>
      <c r="S83" s="5">
        <v>179173.02</v>
      </c>
      <c r="T83" s="6">
        <v>4.65E-2</v>
      </c>
      <c r="U83" s="5">
        <v>170841.47</v>
      </c>
      <c r="V83" s="5">
        <v>11367.79</v>
      </c>
      <c r="W83" s="6">
        <v>0.14879999999999999</v>
      </c>
      <c r="X83" s="5">
        <v>25421.21</v>
      </c>
      <c r="Y83" s="2" t="s">
        <v>69</v>
      </c>
      <c r="Z83" s="2" t="s">
        <v>125</v>
      </c>
      <c r="AA83" s="2" t="s">
        <v>35</v>
      </c>
    </row>
    <row r="84" spans="1:27">
      <c r="A84" s="2" t="s">
        <v>209</v>
      </c>
      <c r="B84" s="3">
        <v>45373</v>
      </c>
      <c r="C84" s="2">
        <v>2024</v>
      </c>
      <c r="D84" s="2" t="s">
        <v>59</v>
      </c>
      <c r="E84" s="2" t="s">
        <v>60</v>
      </c>
      <c r="F84" s="2" t="s">
        <v>29</v>
      </c>
      <c r="G84" s="2" t="s">
        <v>95</v>
      </c>
      <c r="H84" s="2" t="s">
        <v>31</v>
      </c>
      <c r="I84" s="2" t="s">
        <v>41</v>
      </c>
      <c r="J84" s="2" t="s">
        <v>53</v>
      </c>
      <c r="K84" s="2" t="s">
        <v>54</v>
      </c>
      <c r="L84" s="2" t="s">
        <v>54</v>
      </c>
      <c r="M84" s="2" t="s">
        <v>162</v>
      </c>
      <c r="N84" s="2">
        <v>47.58</v>
      </c>
      <c r="O84" s="2">
        <v>1876</v>
      </c>
      <c r="P84" s="2">
        <v>4.9000000000000004</v>
      </c>
      <c r="Q84" s="4">
        <v>149.54</v>
      </c>
      <c r="R84" s="5">
        <v>1234.3599999999999</v>
      </c>
      <c r="S84" s="5">
        <v>184586.19</v>
      </c>
      <c r="T84" s="6">
        <v>4.0399999999999998E-2</v>
      </c>
      <c r="U84" s="5">
        <v>177128.91</v>
      </c>
      <c r="V84" s="5">
        <v>8354.4500000000007</v>
      </c>
      <c r="W84" s="6">
        <v>0.2409</v>
      </c>
      <c r="X84" s="5">
        <v>42670.35</v>
      </c>
      <c r="Y84" s="2" t="s">
        <v>83</v>
      </c>
      <c r="Z84" s="2" t="s">
        <v>46</v>
      </c>
      <c r="AA84" s="2" t="s">
        <v>35</v>
      </c>
    </row>
    <row r="85" spans="1:27">
      <c r="A85" s="2" t="s">
        <v>210</v>
      </c>
      <c r="B85" s="3">
        <v>45757</v>
      </c>
      <c r="C85" s="2">
        <v>2025</v>
      </c>
      <c r="D85" s="2" t="s">
        <v>48</v>
      </c>
      <c r="E85" s="2" t="s">
        <v>49</v>
      </c>
      <c r="F85" s="2" t="s">
        <v>61</v>
      </c>
      <c r="G85" s="2" t="s">
        <v>62</v>
      </c>
      <c r="H85" s="2" t="s">
        <v>73</v>
      </c>
      <c r="I85" s="2" t="s">
        <v>64</v>
      </c>
      <c r="J85" s="2" t="s">
        <v>79</v>
      </c>
      <c r="K85" s="2" t="s">
        <v>100</v>
      </c>
      <c r="L85" s="2" t="s">
        <v>101</v>
      </c>
      <c r="M85" s="2" t="s">
        <v>102</v>
      </c>
      <c r="N85" s="2">
        <v>8.51</v>
      </c>
      <c r="O85" s="2">
        <v>150</v>
      </c>
      <c r="P85" s="2">
        <v>9.5</v>
      </c>
      <c r="Q85" s="4">
        <v>165.57</v>
      </c>
      <c r="R85" s="5">
        <v>1238.9100000000001</v>
      </c>
      <c r="S85" s="5">
        <v>205126.33</v>
      </c>
      <c r="T85" s="6">
        <v>3.1800000000000002E-2</v>
      </c>
      <c r="U85" s="5">
        <v>198603.31</v>
      </c>
      <c r="V85" s="5">
        <v>6847.97</v>
      </c>
      <c r="W85" s="6">
        <v>0.24010000000000001</v>
      </c>
      <c r="X85" s="5">
        <v>47684.65</v>
      </c>
      <c r="Y85" s="2" t="s">
        <v>83</v>
      </c>
      <c r="Z85" s="2" t="s">
        <v>70</v>
      </c>
      <c r="AA85" s="2" t="s">
        <v>35</v>
      </c>
    </row>
    <row r="86" spans="1:27">
      <c r="A86" s="2" t="s">
        <v>211</v>
      </c>
      <c r="B86" s="3">
        <v>45403</v>
      </c>
      <c r="C86" s="2">
        <v>2024</v>
      </c>
      <c r="D86" s="2" t="s">
        <v>48</v>
      </c>
      <c r="E86" s="2" t="s">
        <v>49</v>
      </c>
      <c r="F86" s="2" t="s">
        <v>29</v>
      </c>
      <c r="G86" s="2" t="s">
        <v>30</v>
      </c>
      <c r="H86" s="2" t="s">
        <v>63</v>
      </c>
      <c r="I86" s="2" t="s">
        <v>64</v>
      </c>
      <c r="J86" s="2" t="s">
        <v>53</v>
      </c>
      <c r="K86" s="2" t="s">
        <v>54</v>
      </c>
      <c r="L86" s="2" t="s">
        <v>54</v>
      </c>
      <c r="M86" s="2" t="s">
        <v>162</v>
      </c>
      <c r="N86" s="2">
        <v>14.58</v>
      </c>
      <c r="O86" s="2">
        <v>2848</v>
      </c>
      <c r="P86" s="2">
        <v>9.3000000000000007</v>
      </c>
      <c r="Q86" s="4">
        <v>32.03</v>
      </c>
      <c r="R86" s="5">
        <v>1198.55</v>
      </c>
      <c r="S86" s="5">
        <v>38389.56</v>
      </c>
      <c r="T86" s="6">
        <v>5.0700000000000002E-2</v>
      </c>
      <c r="U86" s="5">
        <v>36443.21</v>
      </c>
      <c r="V86" s="5">
        <v>763.52</v>
      </c>
      <c r="W86" s="6">
        <v>0.15970000000000001</v>
      </c>
      <c r="X86" s="5">
        <v>5819.98</v>
      </c>
      <c r="Y86" s="2" t="s">
        <v>75</v>
      </c>
      <c r="Z86" s="2" t="s">
        <v>89</v>
      </c>
      <c r="AA86" s="2" t="s">
        <v>35</v>
      </c>
    </row>
    <row r="87" spans="1:27">
      <c r="A87" s="2" t="s">
        <v>212</v>
      </c>
      <c r="B87" s="3">
        <v>45876</v>
      </c>
      <c r="C87" s="2">
        <v>2025</v>
      </c>
      <c r="D87" s="2" t="s">
        <v>27</v>
      </c>
      <c r="E87" s="2" t="s">
        <v>28</v>
      </c>
      <c r="F87" s="2" t="s">
        <v>61</v>
      </c>
      <c r="G87" s="2" t="s">
        <v>62</v>
      </c>
      <c r="H87" s="2" t="s">
        <v>73</v>
      </c>
      <c r="I87" s="2" t="s">
        <v>32</v>
      </c>
      <c r="J87" s="2" t="s">
        <v>65</v>
      </c>
      <c r="K87" s="2" t="s">
        <v>66</v>
      </c>
      <c r="L87" s="2" t="s">
        <v>67</v>
      </c>
      <c r="M87" s="2" t="s">
        <v>140</v>
      </c>
      <c r="N87" s="2">
        <v>7.03</v>
      </c>
      <c r="O87" s="2">
        <v>305</v>
      </c>
      <c r="P87" s="2">
        <v>8.3000000000000007</v>
      </c>
      <c r="Q87" s="4">
        <v>120.68</v>
      </c>
      <c r="R87" s="5">
        <v>1613.64</v>
      </c>
      <c r="S87" s="5">
        <v>194734.07999999999</v>
      </c>
      <c r="T87" s="6">
        <v>5.1700000000000003E-2</v>
      </c>
      <c r="U87" s="5">
        <v>184666.33</v>
      </c>
      <c r="V87" s="5">
        <v>4498.17</v>
      </c>
      <c r="W87" s="6">
        <v>0.27979999999999999</v>
      </c>
      <c r="X87" s="5">
        <v>51669.64</v>
      </c>
      <c r="Y87" s="2" t="s">
        <v>33</v>
      </c>
      <c r="Z87" s="2" t="s">
        <v>80</v>
      </c>
      <c r="AA87" s="2" t="s">
        <v>35</v>
      </c>
    </row>
    <row r="88" spans="1:27">
      <c r="A88" s="2" t="s">
        <v>213</v>
      </c>
      <c r="B88" s="3">
        <v>45414</v>
      </c>
      <c r="C88" s="2">
        <v>2024</v>
      </c>
      <c r="D88" s="2" t="s">
        <v>81</v>
      </c>
      <c r="E88" s="2" t="s">
        <v>49</v>
      </c>
      <c r="F88" s="2" t="s">
        <v>61</v>
      </c>
      <c r="G88" s="2" t="s">
        <v>114</v>
      </c>
      <c r="H88" s="2" t="s">
        <v>63</v>
      </c>
      <c r="I88" s="2" t="s">
        <v>93</v>
      </c>
      <c r="J88" s="2" t="s">
        <v>42</v>
      </c>
      <c r="K88" s="2" t="s">
        <v>100</v>
      </c>
      <c r="L88" s="2" t="s">
        <v>101</v>
      </c>
      <c r="M88" s="2" t="s">
        <v>102</v>
      </c>
      <c r="N88" s="2">
        <v>5.12</v>
      </c>
      <c r="O88" s="2">
        <v>222</v>
      </c>
      <c r="P88" s="2">
        <v>10.5</v>
      </c>
      <c r="Q88" s="4">
        <v>133.09</v>
      </c>
      <c r="R88" s="5">
        <v>1396.57</v>
      </c>
      <c r="S88" s="5">
        <v>185869.5</v>
      </c>
      <c r="T88" s="6">
        <v>5.5599999999999997E-2</v>
      </c>
      <c r="U88" s="5">
        <v>175535.16</v>
      </c>
      <c r="V88" s="5">
        <v>5321.76</v>
      </c>
      <c r="W88" s="6">
        <v>0.1464</v>
      </c>
      <c r="X88" s="5">
        <v>25698.35</v>
      </c>
      <c r="Y88" s="2" t="s">
        <v>83</v>
      </c>
      <c r="Z88" s="2" t="s">
        <v>80</v>
      </c>
      <c r="AA88" s="2" t="s">
        <v>35</v>
      </c>
    </row>
    <row r="89" spans="1:27">
      <c r="A89" s="2" t="s">
        <v>214</v>
      </c>
      <c r="B89" s="3">
        <v>45426</v>
      </c>
      <c r="C89" s="2">
        <v>2024</v>
      </c>
      <c r="D89" s="2" t="s">
        <v>81</v>
      </c>
      <c r="E89" s="2" t="s">
        <v>49</v>
      </c>
      <c r="F89" s="2" t="s">
        <v>98</v>
      </c>
      <c r="G89" s="2" t="s">
        <v>135</v>
      </c>
      <c r="H89" s="2" t="s">
        <v>31</v>
      </c>
      <c r="I89" s="2" t="s">
        <v>116</v>
      </c>
      <c r="J89" s="2" t="s">
        <v>42</v>
      </c>
      <c r="K89" s="2" t="s">
        <v>43</v>
      </c>
      <c r="L89" s="2" t="s">
        <v>44</v>
      </c>
      <c r="M89" s="2" t="s">
        <v>45</v>
      </c>
      <c r="N89" s="2">
        <v>20.65</v>
      </c>
      <c r="O89" s="2">
        <v>16</v>
      </c>
      <c r="P89" s="2">
        <v>6.1</v>
      </c>
      <c r="Q89" s="4">
        <v>271.02999999999997</v>
      </c>
      <c r="R89" s="5">
        <v>796.92</v>
      </c>
      <c r="S89" s="5">
        <v>215989.23</v>
      </c>
      <c r="T89" s="6">
        <v>6.5000000000000002E-2</v>
      </c>
      <c r="U89" s="5">
        <v>201949.93</v>
      </c>
      <c r="V89" s="5">
        <v>20005.36</v>
      </c>
      <c r="W89" s="6">
        <v>0.1457</v>
      </c>
      <c r="X89" s="5">
        <v>29424.1</v>
      </c>
      <c r="Y89" s="2" t="s">
        <v>69</v>
      </c>
      <c r="Z89" s="2" t="s">
        <v>80</v>
      </c>
      <c r="AA89" s="2" t="s">
        <v>35</v>
      </c>
    </row>
    <row r="90" spans="1:27">
      <c r="A90" s="2" t="s">
        <v>215</v>
      </c>
      <c r="B90" s="3">
        <v>45886</v>
      </c>
      <c r="C90" s="2">
        <v>2025</v>
      </c>
      <c r="D90" s="2" t="s">
        <v>27</v>
      </c>
      <c r="E90" s="2" t="s">
        <v>28</v>
      </c>
      <c r="F90" s="2" t="s">
        <v>98</v>
      </c>
      <c r="G90" s="2" t="s">
        <v>111</v>
      </c>
      <c r="H90" s="2" t="s">
        <v>31</v>
      </c>
      <c r="I90" s="2" t="s">
        <v>32</v>
      </c>
      <c r="J90" s="2" t="s">
        <v>65</v>
      </c>
      <c r="K90" s="2" t="s">
        <v>66</v>
      </c>
      <c r="L90" s="2" t="s">
        <v>67</v>
      </c>
      <c r="M90" s="2" t="s">
        <v>140</v>
      </c>
      <c r="N90" s="2">
        <v>5.23</v>
      </c>
      <c r="O90" s="2">
        <v>242</v>
      </c>
      <c r="P90" s="2">
        <v>11.8</v>
      </c>
      <c r="Q90" s="4">
        <v>124.73</v>
      </c>
      <c r="R90" s="5">
        <v>1436.73</v>
      </c>
      <c r="S90" s="5">
        <v>179203.33</v>
      </c>
      <c r="T90" s="6">
        <v>5.5199999999999999E-2</v>
      </c>
      <c r="U90" s="5">
        <v>169311.31</v>
      </c>
      <c r="V90" s="5">
        <v>10617.28</v>
      </c>
      <c r="W90" s="6">
        <v>0.27100000000000002</v>
      </c>
      <c r="X90" s="5">
        <v>45883.37</v>
      </c>
      <c r="Y90" s="2" t="s">
        <v>33</v>
      </c>
      <c r="Z90" s="2" t="s">
        <v>57</v>
      </c>
      <c r="AA90" s="2" t="s">
        <v>35</v>
      </c>
    </row>
    <row r="91" spans="1:27">
      <c r="A91" s="2" t="s">
        <v>216</v>
      </c>
      <c r="B91" s="3">
        <v>45633</v>
      </c>
      <c r="C91" s="2">
        <v>2024</v>
      </c>
      <c r="D91" s="2" t="s">
        <v>97</v>
      </c>
      <c r="E91" s="2" t="s">
        <v>77</v>
      </c>
      <c r="F91" s="2" t="s">
        <v>86</v>
      </c>
      <c r="G91" s="2" t="s">
        <v>117</v>
      </c>
      <c r="H91" s="2" t="s">
        <v>40</v>
      </c>
      <c r="I91" s="2" t="s">
        <v>41</v>
      </c>
      <c r="J91" s="2" t="s">
        <v>42</v>
      </c>
      <c r="K91" s="2" t="s">
        <v>43</v>
      </c>
      <c r="L91" s="2" t="s">
        <v>44</v>
      </c>
      <c r="M91" s="2" t="s">
        <v>124</v>
      </c>
      <c r="N91" s="2">
        <v>11.69</v>
      </c>
      <c r="O91" s="2">
        <v>9</v>
      </c>
      <c r="P91" s="2">
        <v>7.2</v>
      </c>
      <c r="Q91" s="4">
        <v>604.92999999999995</v>
      </c>
      <c r="R91" s="5">
        <v>732.08</v>
      </c>
      <c r="S91" s="5">
        <v>442857.15</v>
      </c>
      <c r="T91" s="6">
        <v>3.8600000000000002E-2</v>
      </c>
      <c r="U91" s="5">
        <v>425762.86</v>
      </c>
      <c r="V91" s="5">
        <v>56483.91</v>
      </c>
      <c r="W91" s="6">
        <v>0.2198</v>
      </c>
      <c r="X91" s="5">
        <v>93582.68</v>
      </c>
      <c r="Y91" s="2" t="s">
        <v>56</v>
      </c>
      <c r="Z91" s="2" t="s">
        <v>125</v>
      </c>
      <c r="AA91" s="2" t="s">
        <v>35</v>
      </c>
    </row>
    <row r="92" spans="1:27">
      <c r="A92" s="2" t="s">
        <v>217</v>
      </c>
      <c r="B92" s="3">
        <v>45540</v>
      </c>
      <c r="C92" s="2">
        <v>2024</v>
      </c>
      <c r="D92" s="2" t="s">
        <v>37</v>
      </c>
      <c r="E92" s="2" t="s">
        <v>28</v>
      </c>
      <c r="F92" s="2" t="s">
        <v>38</v>
      </c>
      <c r="G92" s="2" t="s">
        <v>72</v>
      </c>
      <c r="H92" s="2" t="s">
        <v>31</v>
      </c>
      <c r="I92" s="2" t="s">
        <v>88</v>
      </c>
      <c r="J92" s="2" t="s">
        <v>65</v>
      </c>
      <c r="K92" s="2" t="s">
        <v>66</v>
      </c>
      <c r="L92" s="2" t="s">
        <v>67</v>
      </c>
      <c r="M92" s="2" t="s">
        <v>140</v>
      </c>
      <c r="N92" s="2">
        <v>17.149999999999999</v>
      </c>
      <c r="O92" s="2">
        <v>108</v>
      </c>
      <c r="P92" s="2">
        <v>7.2</v>
      </c>
      <c r="Q92" s="4">
        <v>200.04</v>
      </c>
      <c r="R92" s="5">
        <v>1572.36</v>
      </c>
      <c r="S92" s="5">
        <v>314534.89</v>
      </c>
      <c r="T92" s="6">
        <v>4.4400000000000002E-2</v>
      </c>
      <c r="U92" s="5">
        <v>300569.53999999998</v>
      </c>
      <c r="V92" s="5">
        <v>14845.42</v>
      </c>
      <c r="W92" s="6">
        <v>0.2218</v>
      </c>
      <c r="X92" s="5">
        <v>66666.320000000007</v>
      </c>
      <c r="Y92" s="2" t="s">
        <v>83</v>
      </c>
      <c r="Z92" s="2" t="s">
        <v>57</v>
      </c>
      <c r="AA92" s="2" t="s">
        <v>35</v>
      </c>
    </row>
    <row r="93" spans="1:27">
      <c r="A93" s="2" t="s">
        <v>218</v>
      </c>
      <c r="B93" s="3">
        <v>46020</v>
      </c>
      <c r="C93" s="2">
        <v>2025</v>
      </c>
      <c r="D93" s="2" t="s">
        <v>97</v>
      </c>
      <c r="E93" s="2" t="s">
        <v>77</v>
      </c>
      <c r="F93" s="2" t="s">
        <v>61</v>
      </c>
      <c r="G93" s="2" t="s">
        <v>114</v>
      </c>
      <c r="H93" s="2" t="s">
        <v>40</v>
      </c>
      <c r="I93" s="2" t="s">
        <v>74</v>
      </c>
      <c r="J93" s="2" t="s">
        <v>127</v>
      </c>
      <c r="K93" s="2" t="s">
        <v>54</v>
      </c>
      <c r="L93" s="2" t="s">
        <v>54</v>
      </c>
      <c r="M93" s="2" t="s">
        <v>162</v>
      </c>
      <c r="N93" s="2">
        <v>69.3</v>
      </c>
      <c r="O93" s="2">
        <v>1792</v>
      </c>
      <c r="P93" s="2">
        <v>4.3</v>
      </c>
      <c r="Q93" s="4">
        <v>199.78</v>
      </c>
      <c r="R93" s="5">
        <v>1397.2</v>
      </c>
      <c r="S93" s="5">
        <v>279132.62</v>
      </c>
      <c r="T93" s="6">
        <v>4.8099999999999997E-2</v>
      </c>
      <c r="U93" s="5">
        <v>265706.34000000003</v>
      </c>
      <c r="V93" s="5">
        <v>15207.07</v>
      </c>
      <c r="W93" s="6">
        <v>0.15479999999999999</v>
      </c>
      <c r="X93" s="5">
        <v>41131.339999999997</v>
      </c>
      <c r="Y93" s="2" t="s">
        <v>69</v>
      </c>
      <c r="Z93" s="2" t="s">
        <v>106</v>
      </c>
      <c r="AA93" s="2" t="s">
        <v>35</v>
      </c>
    </row>
    <row r="94" spans="1:27">
      <c r="A94" s="2" t="s">
        <v>219</v>
      </c>
      <c r="B94" s="3">
        <v>45671</v>
      </c>
      <c r="C94" s="2">
        <v>2025</v>
      </c>
      <c r="D94" s="2" t="s">
        <v>71</v>
      </c>
      <c r="E94" s="2" t="s">
        <v>60</v>
      </c>
      <c r="F94" s="2" t="s">
        <v>29</v>
      </c>
      <c r="G94" s="2" t="s">
        <v>78</v>
      </c>
      <c r="H94" s="2" t="s">
        <v>63</v>
      </c>
      <c r="I94" s="2" t="s">
        <v>74</v>
      </c>
      <c r="J94" s="2" t="s">
        <v>127</v>
      </c>
      <c r="K94" s="2" t="s">
        <v>54</v>
      </c>
      <c r="L94" s="2" t="s">
        <v>54</v>
      </c>
      <c r="M94" s="2" t="s">
        <v>55</v>
      </c>
      <c r="N94" s="2">
        <v>74.22</v>
      </c>
      <c r="O94" s="2">
        <v>2741</v>
      </c>
      <c r="P94" s="2">
        <v>11.2</v>
      </c>
      <c r="Q94" s="4">
        <v>144.27000000000001</v>
      </c>
      <c r="R94" s="5">
        <v>1256.33</v>
      </c>
      <c r="S94" s="5">
        <v>181250.73</v>
      </c>
      <c r="T94" s="6">
        <v>3.1800000000000002E-2</v>
      </c>
      <c r="U94" s="5">
        <v>175486.96</v>
      </c>
      <c r="V94" s="5">
        <v>6058.85</v>
      </c>
      <c r="W94" s="6">
        <v>0.26169999999999999</v>
      </c>
      <c r="X94" s="5">
        <v>45924.94</v>
      </c>
      <c r="Y94" s="2" t="s">
        <v>33</v>
      </c>
      <c r="Z94" s="2" t="s">
        <v>46</v>
      </c>
      <c r="AA94" s="2" t="s">
        <v>35</v>
      </c>
    </row>
    <row r="95" spans="1:27">
      <c r="A95" s="2" t="s">
        <v>220</v>
      </c>
      <c r="B95" s="3">
        <v>45319</v>
      </c>
      <c r="C95" s="2">
        <v>2024</v>
      </c>
      <c r="D95" s="2" t="s">
        <v>71</v>
      </c>
      <c r="E95" s="2" t="s">
        <v>60</v>
      </c>
      <c r="F95" s="2" t="s">
        <v>50</v>
      </c>
      <c r="G95" s="2" t="s">
        <v>51</v>
      </c>
      <c r="H95" s="2" t="s">
        <v>63</v>
      </c>
      <c r="I95" s="2" t="s">
        <v>52</v>
      </c>
      <c r="J95" s="2" t="s">
        <v>42</v>
      </c>
      <c r="K95" s="2" t="s">
        <v>100</v>
      </c>
      <c r="L95" s="2" t="s">
        <v>101</v>
      </c>
      <c r="M95" s="2" t="s">
        <v>145</v>
      </c>
      <c r="N95" s="2">
        <v>13.58</v>
      </c>
      <c r="O95" s="2">
        <v>54</v>
      </c>
      <c r="P95" s="2">
        <v>4.3</v>
      </c>
      <c r="Q95" s="4">
        <v>170.31</v>
      </c>
      <c r="R95" s="5">
        <v>1091.02</v>
      </c>
      <c r="S95" s="5">
        <v>185811.62</v>
      </c>
      <c r="T95" s="6">
        <v>3.7600000000000001E-2</v>
      </c>
      <c r="U95" s="5">
        <v>178825.1</v>
      </c>
      <c r="V95" s="5">
        <v>3846.99</v>
      </c>
      <c r="W95" s="6">
        <v>0.20430000000000001</v>
      </c>
      <c r="X95" s="5">
        <v>36533.97</v>
      </c>
      <c r="Y95" s="2" t="s">
        <v>56</v>
      </c>
      <c r="Z95" s="2" t="s">
        <v>80</v>
      </c>
      <c r="AA95" s="2" t="s">
        <v>35</v>
      </c>
    </row>
    <row r="96" spans="1:27">
      <c r="A96" s="2" t="s">
        <v>221</v>
      </c>
      <c r="B96" s="3">
        <v>45802</v>
      </c>
      <c r="C96" s="2">
        <v>2025</v>
      </c>
      <c r="D96" s="2" t="s">
        <v>81</v>
      </c>
      <c r="E96" s="2" t="s">
        <v>49</v>
      </c>
      <c r="F96" s="2" t="s">
        <v>98</v>
      </c>
      <c r="G96" s="2" t="s">
        <v>135</v>
      </c>
      <c r="H96" s="2" t="s">
        <v>63</v>
      </c>
      <c r="I96" s="2" t="s">
        <v>41</v>
      </c>
      <c r="J96" s="2" t="s">
        <v>65</v>
      </c>
      <c r="K96" s="2" t="s">
        <v>66</v>
      </c>
      <c r="L96" s="2" t="s">
        <v>67</v>
      </c>
      <c r="M96" s="2" t="s">
        <v>68</v>
      </c>
      <c r="N96" s="2">
        <v>17.57</v>
      </c>
      <c r="O96" s="2">
        <v>135</v>
      </c>
      <c r="P96" s="2">
        <v>8.1</v>
      </c>
      <c r="Q96" s="4">
        <v>84.88</v>
      </c>
      <c r="R96" s="5">
        <v>1578.63</v>
      </c>
      <c r="S96" s="5">
        <v>133994.10999999999</v>
      </c>
      <c r="T96" s="6">
        <v>1.5100000000000001E-2</v>
      </c>
      <c r="U96" s="5">
        <v>131970.79999999999</v>
      </c>
      <c r="V96" s="5">
        <v>3118.15</v>
      </c>
      <c r="W96" s="6">
        <v>0.253</v>
      </c>
      <c r="X96" s="5">
        <v>33388.61</v>
      </c>
      <c r="Y96" s="2" t="s">
        <v>83</v>
      </c>
      <c r="Z96" s="2" t="s">
        <v>70</v>
      </c>
      <c r="AA96" s="2" t="s">
        <v>35</v>
      </c>
    </row>
    <row r="97" spans="1:27">
      <c r="A97" s="2" t="s">
        <v>222</v>
      </c>
      <c r="B97" s="3">
        <v>45526</v>
      </c>
      <c r="C97" s="2">
        <v>2024</v>
      </c>
      <c r="D97" s="2" t="s">
        <v>27</v>
      </c>
      <c r="E97" s="2" t="s">
        <v>28</v>
      </c>
      <c r="F97" s="2" t="s">
        <v>86</v>
      </c>
      <c r="G97" s="2" t="s">
        <v>134</v>
      </c>
      <c r="H97" s="2" t="s">
        <v>40</v>
      </c>
      <c r="I97" s="2" t="s">
        <v>116</v>
      </c>
      <c r="J97" s="2" t="s">
        <v>127</v>
      </c>
      <c r="K97" s="2" t="s">
        <v>54</v>
      </c>
      <c r="L97" s="2" t="s">
        <v>54</v>
      </c>
      <c r="M97" s="2" t="s">
        <v>158</v>
      </c>
      <c r="N97" s="2">
        <v>54.87</v>
      </c>
      <c r="O97" s="2">
        <v>2053</v>
      </c>
      <c r="P97" s="2">
        <v>5.9</v>
      </c>
      <c r="Q97" s="4">
        <v>12.48</v>
      </c>
      <c r="R97" s="5">
        <v>1127.79</v>
      </c>
      <c r="S97" s="5">
        <v>14074.82</v>
      </c>
      <c r="T97" s="6">
        <v>4.3200000000000002E-2</v>
      </c>
      <c r="U97" s="5">
        <v>13466.79</v>
      </c>
      <c r="V97" s="5">
        <v>735.1</v>
      </c>
      <c r="W97" s="6">
        <v>0.15110000000000001</v>
      </c>
      <c r="X97" s="5">
        <v>2034.83</v>
      </c>
      <c r="Y97" s="2" t="s">
        <v>69</v>
      </c>
      <c r="Z97" s="2" t="s">
        <v>57</v>
      </c>
      <c r="AA97" s="2" t="s">
        <v>35</v>
      </c>
    </row>
    <row r="98" spans="1:27">
      <c r="A98" s="2" t="s">
        <v>223</v>
      </c>
      <c r="B98" s="3">
        <v>45617</v>
      </c>
      <c r="C98" s="2">
        <v>2024</v>
      </c>
      <c r="D98" s="2" t="s">
        <v>76</v>
      </c>
      <c r="E98" s="2" t="s">
        <v>77</v>
      </c>
      <c r="F98" s="2" t="s">
        <v>98</v>
      </c>
      <c r="G98" s="2" t="s">
        <v>135</v>
      </c>
      <c r="H98" s="2" t="s">
        <v>63</v>
      </c>
      <c r="I98" s="2" t="s">
        <v>88</v>
      </c>
      <c r="J98" s="2" t="s">
        <v>53</v>
      </c>
      <c r="K98" s="2" t="s">
        <v>54</v>
      </c>
      <c r="L98" s="2" t="s">
        <v>54</v>
      </c>
      <c r="M98" s="2" t="s">
        <v>94</v>
      </c>
      <c r="N98" s="2">
        <v>49.55</v>
      </c>
      <c r="O98" s="2">
        <v>2802</v>
      </c>
      <c r="P98" s="2">
        <v>12</v>
      </c>
      <c r="Q98" s="4">
        <v>68.33</v>
      </c>
      <c r="R98" s="5">
        <v>1123.25</v>
      </c>
      <c r="S98" s="5">
        <v>76751.67</v>
      </c>
      <c r="T98" s="6">
        <v>2.5600000000000001E-2</v>
      </c>
      <c r="U98" s="5">
        <v>74786.83</v>
      </c>
      <c r="V98" s="5">
        <v>2635.33</v>
      </c>
      <c r="W98" s="6">
        <v>0.1326</v>
      </c>
      <c r="X98" s="5">
        <v>9916.73</v>
      </c>
      <c r="Y98" s="2" t="s">
        <v>75</v>
      </c>
      <c r="Z98" s="2" t="s">
        <v>106</v>
      </c>
      <c r="AA98" s="2" t="s">
        <v>35</v>
      </c>
    </row>
    <row r="99" spans="1:27">
      <c r="A99" s="2" t="s">
        <v>224</v>
      </c>
      <c r="B99" s="3">
        <v>45927</v>
      </c>
      <c r="C99" s="2">
        <v>2025</v>
      </c>
      <c r="D99" s="2" t="s">
        <v>37</v>
      </c>
      <c r="E99" s="2" t="s">
        <v>28</v>
      </c>
      <c r="F99" s="2" t="s">
        <v>118</v>
      </c>
      <c r="G99" s="2" t="s">
        <v>155</v>
      </c>
      <c r="H99" s="2" t="s">
        <v>63</v>
      </c>
      <c r="I99" s="2" t="s">
        <v>64</v>
      </c>
      <c r="J99" s="2" t="s">
        <v>65</v>
      </c>
      <c r="K99" s="2" t="s">
        <v>100</v>
      </c>
      <c r="L99" s="2" t="s">
        <v>101</v>
      </c>
      <c r="M99" s="2" t="s">
        <v>129</v>
      </c>
      <c r="N99" s="2">
        <v>13.69</v>
      </c>
      <c r="O99" s="2">
        <v>56</v>
      </c>
      <c r="P99" s="2">
        <v>8.6999999999999993</v>
      </c>
      <c r="Q99" s="4">
        <v>73.62</v>
      </c>
      <c r="R99" s="5">
        <v>988.27</v>
      </c>
      <c r="S99" s="5">
        <v>72756.44</v>
      </c>
      <c r="T99" s="6">
        <v>3.39E-2</v>
      </c>
      <c r="U99" s="5">
        <v>70290</v>
      </c>
      <c r="V99" s="5">
        <v>1535.02</v>
      </c>
      <c r="W99" s="6">
        <v>0.16850000000000001</v>
      </c>
      <c r="X99" s="5">
        <v>11843.87</v>
      </c>
      <c r="Y99" s="2" t="s">
        <v>56</v>
      </c>
      <c r="Z99" s="2" t="s">
        <v>46</v>
      </c>
      <c r="AA99" s="2" t="s">
        <v>35</v>
      </c>
    </row>
    <row r="100" spans="1:27">
      <c r="A100" s="2" t="s">
        <v>225</v>
      </c>
      <c r="B100" s="3">
        <v>45534</v>
      </c>
      <c r="C100" s="2">
        <v>2024</v>
      </c>
      <c r="D100" s="2" t="s">
        <v>27</v>
      </c>
      <c r="E100" s="2" t="s">
        <v>28</v>
      </c>
      <c r="F100" s="2" t="s">
        <v>61</v>
      </c>
      <c r="G100" s="2" t="s">
        <v>62</v>
      </c>
      <c r="H100" s="2" t="s">
        <v>73</v>
      </c>
      <c r="I100" s="2" t="s">
        <v>41</v>
      </c>
      <c r="J100" s="2" t="s">
        <v>42</v>
      </c>
      <c r="K100" s="2" t="s">
        <v>43</v>
      </c>
      <c r="L100" s="2" t="s">
        <v>44</v>
      </c>
      <c r="M100" s="2" t="s">
        <v>45</v>
      </c>
      <c r="N100" s="2">
        <v>39.369999999999997</v>
      </c>
      <c r="O100" s="2">
        <v>28</v>
      </c>
      <c r="P100" s="2">
        <v>11.9</v>
      </c>
      <c r="Q100" s="4">
        <v>285.31</v>
      </c>
      <c r="R100" s="5">
        <v>769.9</v>
      </c>
      <c r="S100" s="5">
        <v>219660.17</v>
      </c>
      <c r="T100" s="6">
        <v>2.63E-2</v>
      </c>
      <c r="U100" s="5">
        <v>213883.11</v>
      </c>
      <c r="V100" s="5">
        <v>6554.45</v>
      </c>
      <c r="W100" s="6">
        <v>0.24299999999999999</v>
      </c>
      <c r="X100" s="5">
        <v>51973.599999999999</v>
      </c>
      <c r="Y100" s="2" t="s">
        <v>75</v>
      </c>
      <c r="Z100" s="2" t="s">
        <v>80</v>
      </c>
      <c r="AA100" s="2" t="s">
        <v>35</v>
      </c>
    </row>
    <row r="101" spans="1:27">
      <c r="A101" s="2" t="s">
        <v>226</v>
      </c>
      <c r="B101" s="3">
        <v>45812</v>
      </c>
      <c r="C101" s="2">
        <v>2025</v>
      </c>
      <c r="D101" s="2" t="s">
        <v>91</v>
      </c>
      <c r="E101" s="2" t="s">
        <v>49</v>
      </c>
      <c r="F101" s="2" t="s">
        <v>86</v>
      </c>
      <c r="G101" s="2" t="s">
        <v>134</v>
      </c>
      <c r="H101" s="2" t="s">
        <v>40</v>
      </c>
      <c r="I101" s="2" t="s">
        <v>52</v>
      </c>
      <c r="J101" s="2" t="s">
        <v>65</v>
      </c>
      <c r="K101" s="2" t="s">
        <v>54</v>
      </c>
      <c r="L101" s="2" t="s">
        <v>54</v>
      </c>
      <c r="M101" s="2" t="s">
        <v>162</v>
      </c>
      <c r="N101" s="2">
        <v>52.16</v>
      </c>
      <c r="O101" s="2">
        <v>2124</v>
      </c>
      <c r="P101" s="2">
        <v>4</v>
      </c>
      <c r="Q101" s="4">
        <v>90.35</v>
      </c>
      <c r="R101" s="5">
        <v>1085.67</v>
      </c>
      <c r="S101" s="5">
        <v>98090.28</v>
      </c>
      <c r="T101" s="6">
        <v>2.76E-2</v>
      </c>
      <c r="U101" s="5">
        <v>95382.99</v>
      </c>
      <c r="V101" s="5">
        <v>5531.53</v>
      </c>
      <c r="W101" s="6">
        <v>0.13400000000000001</v>
      </c>
      <c r="X101" s="5">
        <v>12781.32</v>
      </c>
      <c r="Y101" s="2" t="s">
        <v>69</v>
      </c>
      <c r="Z101" s="2" t="s">
        <v>70</v>
      </c>
      <c r="AA101" s="2" t="s">
        <v>35</v>
      </c>
    </row>
    <row r="102" spans="1:27">
      <c r="A102" s="2" t="s">
        <v>227</v>
      </c>
      <c r="B102" s="3">
        <v>45595</v>
      </c>
      <c r="C102" s="2">
        <v>2024</v>
      </c>
      <c r="D102" s="2" t="s">
        <v>110</v>
      </c>
      <c r="E102" s="2" t="s">
        <v>77</v>
      </c>
      <c r="F102" s="2" t="s">
        <v>118</v>
      </c>
      <c r="G102" s="2" t="s">
        <v>121</v>
      </c>
      <c r="H102" s="2" t="s">
        <v>40</v>
      </c>
      <c r="I102" s="2" t="s">
        <v>52</v>
      </c>
      <c r="J102" s="2" t="s">
        <v>65</v>
      </c>
      <c r="K102" s="2" t="s">
        <v>66</v>
      </c>
      <c r="L102" s="2" t="s">
        <v>67</v>
      </c>
      <c r="M102" s="2" t="s">
        <v>140</v>
      </c>
      <c r="N102" s="2">
        <v>6.37</v>
      </c>
      <c r="O102" s="2">
        <v>120</v>
      </c>
      <c r="P102" s="2">
        <v>8.9</v>
      </c>
      <c r="Q102" s="4">
        <v>197.87</v>
      </c>
      <c r="R102" s="5">
        <v>1444.43</v>
      </c>
      <c r="S102" s="5">
        <v>285809.36</v>
      </c>
      <c r="T102" s="6">
        <v>4.7800000000000002E-2</v>
      </c>
      <c r="U102" s="5">
        <v>272147.67</v>
      </c>
      <c r="V102" s="5">
        <v>15034.85</v>
      </c>
      <c r="W102" s="6">
        <v>0.21740000000000001</v>
      </c>
      <c r="X102" s="5">
        <v>59164.9</v>
      </c>
      <c r="Y102" s="2" t="s">
        <v>69</v>
      </c>
      <c r="Z102" s="2" t="s">
        <v>125</v>
      </c>
      <c r="AA102" s="2" t="s">
        <v>35</v>
      </c>
    </row>
    <row r="103" spans="1:27">
      <c r="A103" s="2" t="s">
        <v>228</v>
      </c>
      <c r="B103" s="3">
        <v>45796</v>
      </c>
      <c r="C103" s="2">
        <v>2025</v>
      </c>
      <c r="D103" s="2" t="s">
        <v>81</v>
      </c>
      <c r="E103" s="2" t="s">
        <v>49</v>
      </c>
      <c r="F103" s="2" t="s">
        <v>61</v>
      </c>
      <c r="G103" s="2" t="s">
        <v>62</v>
      </c>
      <c r="H103" s="2" t="s">
        <v>40</v>
      </c>
      <c r="I103" s="2" t="s">
        <v>88</v>
      </c>
      <c r="J103" s="2" t="s">
        <v>65</v>
      </c>
      <c r="K103" s="2" t="s">
        <v>66</v>
      </c>
      <c r="L103" s="2" t="s">
        <v>67</v>
      </c>
      <c r="M103" s="2" t="s">
        <v>122</v>
      </c>
      <c r="N103" s="2">
        <v>11.5</v>
      </c>
      <c r="O103" s="2">
        <v>183</v>
      </c>
      <c r="P103" s="2">
        <v>11.9</v>
      </c>
      <c r="Q103" s="4">
        <v>264.25</v>
      </c>
      <c r="R103" s="5">
        <v>1839.51</v>
      </c>
      <c r="S103" s="5">
        <v>486090.52</v>
      </c>
      <c r="T103" s="6">
        <v>4.4299999999999999E-2</v>
      </c>
      <c r="U103" s="5">
        <v>464556.71</v>
      </c>
      <c r="V103" s="5">
        <v>16814.349999999999</v>
      </c>
      <c r="W103" s="6">
        <v>0.2203</v>
      </c>
      <c r="X103" s="5">
        <v>102341.84</v>
      </c>
      <c r="Y103" s="2" t="s">
        <v>69</v>
      </c>
      <c r="Z103" s="2" t="s">
        <v>34</v>
      </c>
      <c r="AA103" s="2" t="s">
        <v>35</v>
      </c>
    </row>
    <row r="104" spans="1:27">
      <c r="A104" s="2" t="s">
        <v>229</v>
      </c>
      <c r="B104" s="3">
        <v>45916</v>
      </c>
      <c r="C104" s="2">
        <v>2025</v>
      </c>
      <c r="D104" s="2" t="s">
        <v>37</v>
      </c>
      <c r="E104" s="2" t="s">
        <v>28</v>
      </c>
      <c r="F104" s="2" t="s">
        <v>86</v>
      </c>
      <c r="G104" s="2" t="s">
        <v>117</v>
      </c>
      <c r="H104" s="2" t="s">
        <v>73</v>
      </c>
      <c r="I104" s="2" t="s">
        <v>93</v>
      </c>
      <c r="J104" s="2" t="s">
        <v>79</v>
      </c>
      <c r="K104" s="2" t="s">
        <v>100</v>
      </c>
      <c r="L104" s="2" t="s">
        <v>101</v>
      </c>
      <c r="M104" s="2" t="s">
        <v>129</v>
      </c>
      <c r="N104" s="2">
        <v>10.58</v>
      </c>
      <c r="O104" s="2">
        <v>380</v>
      </c>
      <c r="P104" s="2">
        <v>11</v>
      </c>
      <c r="Q104" s="4">
        <v>95.38</v>
      </c>
      <c r="R104" s="5">
        <v>1178.77</v>
      </c>
      <c r="S104" s="5">
        <v>112431.08</v>
      </c>
      <c r="T104" s="6">
        <v>5.6300000000000003E-2</v>
      </c>
      <c r="U104" s="5">
        <v>106101.21</v>
      </c>
      <c r="V104" s="5">
        <v>3777.17</v>
      </c>
      <c r="W104" s="6">
        <v>0.1137</v>
      </c>
      <c r="X104" s="5">
        <v>12063.71</v>
      </c>
      <c r="Y104" s="2" t="s">
        <v>56</v>
      </c>
      <c r="Z104" s="2" t="s">
        <v>34</v>
      </c>
      <c r="AA104" s="2" t="s">
        <v>35</v>
      </c>
    </row>
    <row r="105" spans="1:27">
      <c r="A105" s="2" t="s">
        <v>230</v>
      </c>
      <c r="B105" s="3">
        <v>45733</v>
      </c>
      <c r="C105" s="2">
        <v>2025</v>
      </c>
      <c r="D105" s="2" t="s">
        <v>59</v>
      </c>
      <c r="E105" s="2" t="s">
        <v>60</v>
      </c>
      <c r="F105" s="2" t="s">
        <v>86</v>
      </c>
      <c r="G105" s="2" t="s">
        <v>134</v>
      </c>
      <c r="H105" s="2" t="s">
        <v>40</v>
      </c>
      <c r="I105" s="2" t="s">
        <v>64</v>
      </c>
      <c r="J105" s="2" t="s">
        <v>42</v>
      </c>
      <c r="K105" s="2" t="s">
        <v>43</v>
      </c>
      <c r="L105" s="2" t="s">
        <v>44</v>
      </c>
      <c r="M105" s="2" t="s">
        <v>45</v>
      </c>
      <c r="N105" s="2">
        <v>32.92</v>
      </c>
      <c r="O105" s="2">
        <v>36</v>
      </c>
      <c r="P105" s="2">
        <v>3.6</v>
      </c>
      <c r="Q105" s="4">
        <v>154.71</v>
      </c>
      <c r="R105" s="5">
        <v>815.07</v>
      </c>
      <c r="S105" s="5">
        <v>126099.48</v>
      </c>
      <c r="T105" s="6">
        <v>4.5999999999999999E-2</v>
      </c>
      <c r="U105" s="5">
        <v>120298.9</v>
      </c>
      <c r="V105" s="5">
        <v>10519.55</v>
      </c>
      <c r="W105" s="6">
        <v>0.22209999999999999</v>
      </c>
      <c r="X105" s="5">
        <v>26718.39</v>
      </c>
      <c r="Y105" s="2" t="s">
        <v>69</v>
      </c>
      <c r="Z105" s="2" t="s">
        <v>125</v>
      </c>
      <c r="AA105" s="2" t="s">
        <v>35</v>
      </c>
    </row>
    <row r="106" spans="1:27">
      <c r="A106" s="2" t="s">
        <v>231</v>
      </c>
      <c r="B106" s="3">
        <v>45652</v>
      </c>
      <c r="C106" s="2">
        <v>2024</v>
      </c>
      <c r="D106" s="2" t="s">
        <v>97</v>
      </c>
      <c r="E106" s="2" t="s">
        <v>77</v>
      </c>
      <c r="F106" s="2" t="s">
        <v>98</v>
      </c>
      <c r="G106" s="2" t="s">
        <v>99</v>
      </c>
      <c r="H106" s="2" t="s">
        <v>73</v>
      </c>
      <c r="I106" s="2" t="s">
        <v>116</v>
      </c>
      <c r="J106" s="2" t="s">
        <v>42</v>
      </c>
      <c r="K106" s="2" t="s">
        <v>100</v>
      </c>
      <c r="L106" s="2" t="s">
        <v>101</v>
      </c>
      <c r="M106" s="2" t="s">
        <v>129</v>
      </c>
      <c r="N106" s="2">
        <v>2.59</v>
      </c>
      <c r="O106" s="2">
        <v>268</v>
      </c>
      <c r="P106" s="2">
        <v>3.4</v>
      </c>
      <c r="Q106" s="4">
        <v>64.790000000000006</v>
      </c>
      <c r="R106" s="5">
        <v>1100.0899999999999</v>
      </c>
      <c r="S106" s="5">
        <v>71274.83</v>
      </c>
      <c r="T106" s="6">
        <v>3.3700000000000001E-2</v>
      </c>
      <c r="U106" s="5">
        <v>68872.87</v>
      </c>
      <c r="V106" s="5">
        <v>1885.12</v>
      </c>
      <c r="W106" s="6">
        <v>0.23630000000000001</v>
      </c>
      <c r="X106" s="5">
        <v>16274.66</v>
      </c>
      <c r="Y106" s="2" t="s">
        <v>69</v>
      </c>
      <c r="Z106" s="2" t="s">
        <v>34</v>
      </c>
      <c r="AA106" s="2" t="s">
        <v>35</v>
      </c>
    </row>
    <row r="107" spans="1:27">
      <c r="A107" s="2" t="s">
        <v>232</v>
      </c>
      <c r="B107" s="3">
        <v>45425</v>
      </c>
      <c r="C107" s="2">
        <v>2024</v>
      </c>
      <c r="D107" s="2" t="s">
        <v>81</v>
      </c>
      <c r="E107" s="2" t="s">
        <v>49</v>
      </c>
      <c r="F107" s="2" t="s">
        <v>38</v>
      </c>
      <c r="G107" s="2" t="s">
        <v>82</v>
      </c>
      <c r="H107" s="2" t="s">
        <v>31</v>
      </c>
      <c r="I107" s="2" t="s">
        <v>74</v>
      </c>
      <c r="J107" s="2" t="s">
        <v>65</v>
      </c>
      <c r="K107" s="2" t="s">
        <v>66</v>
      </c>
      <c r="L107" s="2" t="s">
        <v>67</v>
      </c>
      <c r="M107" s="2" t="s">
        <v>122</v>
      </c>
      <c r="N107" s="2">
        <v>10.87</v>
      </c>
      <c r="O107" s="2">
        <v>234</v>
      </c>
      <c r="P107" s="2">
        <v>3.3</v>
      </c>
      <c r="Q107" s="4">
        <v>101.88</v>
      </c>
      <c r="R107" s="5">
        <v>1735.3</v>
      </c>
      <c r="S107" s="5">
        <v>176792.36</v>
      </c>
      <c r="T107" s="6">
        <v>5.7799999999999997E-2</v>
      </c>
      <c r="U107" s="5">
        <v>166573.76000000001</v>
      </c>
      <c r="V107" s="5">
        <v>7204.06</v>
      </c>
      <c r="W107" s="6">
        <v>0.22600000000000001</v>
      </c>
      <c r="X107" s="5">
        <v>37645.67</v>
      </c>
      <c r="Y107" s="2" t="s">
        <v>83</v>
      </c>
      <c r="Z107" s="2" t="s">
        <v>125</v>
      </c>
      <c r="AA107" s="2" t="s">
        <v>35</v>
      </c>
    </row>
    <row r="108" spans="1:27">
      <c r="A108" s="2" t="s">
        <v>233</v>
      </c>
      <c r="B108" s="3">
        <v>45364</v>
      </c>
      <c r="C108" s="2">
        <v>2024</v>
      </c>
      <c r="D108" s="2" t="s">
        <v>59</v>
      </c>
      <c r="E108" s="2" t="s">
        <v>60</v>
      </c>
      <c r="F108" s="2" t="s">
        <v>29</v>
      </c>
      <c r="G108" s="2" t="s">
        <v>95</v>
      </c>
      <c r="H108" s="2" t="s">
        <v>40</v>
      </c>
      <c r="I108" s="2" t="s">
        <v>52</v>
      </c>
      <c r="J108" s="2" t="s">
        <v>42</v>
      </c>
      <c r="K108" s="2" t="s">
        <v>100</v>
      </c>
      <c r="L108" s="2" t="s">
        <v>101</v>
      </c>
      <c r="M108" s="2" t="s">
        <v>145</v>
      </c>
      <c r="N108" s="2">
        <v>12.55</v>
      </c>
      <c r="O108" s="2">
        <v>599</v>
      </c>
      <c r="P108" s="2">
        <v>4.5999999999999996</v>
      </c>
      <c r="Q108" s="4">
        <v>184.54</v>
      </c>
      <c r="R108" s="5">
        <v>1264.49</v>
      </c>
      <c r="S108" s="5">
        <v>233348.98</v>
      </c>
      <c r="T108" s="6">
        <v>4.7600000000000003E-2</v>
      </c>
      <c r="U108" s="5">
        <v>222241.57</v>
      </c>
      <c r="V108" s="5">
        <v>12646.09</v>
      </c>
      <c r="W108" s="6">
        <v>0.20399999999999999</v>
      </c>
      <c r="X108" s="5">
        <v>45337.279999999999</v>
      </c>
      <c r="Y108" s="2" t="s">
        <v>56</v>
      </c>
      <c r="Z108" s="2" t="s">
        <v>125</v>
      </c>
      <c r="AA108" s="2" t="s">
        <v>35</v>
      </c>
    </row>
    <row r="109" spans="1:27">
      <c r="A109" s="2" t="s">
        <v>234</v>
      </c>
      <c r="B109" s="3">
        <v>45851</v>
      </c>
      <c r="C109" s="2">
        <v>2025</v>
      </c>
      <c r="D109" s="2" t="s">
        <v>104</v>
      </c>
      <c r="E109" s="2" t="s">
        <v>28</v>
      </c>
      <c r="F109" s="2" t="s">
        <v>118</v>
      </c>
      <c r="G109" s="2" t="s">
        <v>155</v>
      </c>
      <c r="H109" s="2" t="s">
        <v>73</v>
      </c>
      <c r="I109" s="2" t="s">
        <v>41</v>
      </c>
      <c r="J109" s="2" t="s">
        <v>42</v>
      </c>
      <c r="K109" s="2" t="s">
        <v>100</v>
      </c>
      <c r="L109" s="2" t="s">
        <v>101</v>
      </c>
      <c r="M109" s="2" t="s">
        <v>108</v>
      </c>
      <c r="N109" s="2">
        <v>9.89</v>
      </c>
      <c r="O109" s="2">
        <v>293</v>
      </c>
      <c r="P109" s="2">
        <v>10.7</v>
      </c>
      <c r="Q109" s="4">
        <v>52.02</v>
      </c>
      <c r="R109" s="5">
        <v>1032.6600000000001</v>
      </c>
      <c r="S109" s="5">
        <v>53718.97</v>
      </c>
      <c r="T109" s="6">
        <v>5.5500000000000001E-2</v>
      </c>
      <c r="U109" s="5">
        <v>50737.57</v>
      </c>
      <c r="V109" s="5">
        <v>1872.83</v>
      </c>
      <c r="W109" s="6">
        <v>0.16789999999999999</v>
      </c>
      <c r="X109" s="5">
        <v>8518.84</v>
      </c>
      <c r="Y109" s="2" t="s">
        <v>56</v>
      </c>
      <c r="Z109" s="2" t="s">
        <v>46</v>
      </c>
      <c r="AA109" s="2" t="s">
        <v>35</v>
      </c>
    </row>
    <row r="110" spans="1:27">
      <c r="A110" s="2" t="s">
        <v>235</v>
      </c>
      <c r="B110" s="3">
        <v>45882</v>
      </c>
      <c r="C110" s="2">
        <v>2025</v>
      </c>
      <c r="D110" s="2" t="s">
        <v>27</v>
      </c>
      <c r="E110" s="2" t="s">
        <v>28</v>
      </c>
      <c r="F110" s="2" t="s">
        <v>50</v>
      </c>
      <c r="G110" s="2" t="s">
        <v>92</v>
      </c>
      <c r="H110" s="2" t="s">
        <v>31</v>
      </c>
      <c r="I110" s="2" t="s">
        <v>74</v>
      </c>
      <c r="J110" s="2" t="s">
        <v>79</v>
      </c>
      <c r="K110" s="2" t="s">
        <v>100</v>
      </c>
      <c r="L110" s="2" t="s">
        <v>101</v>
      </c>
      <c r="M110" s="2" t="s">
        <v>145</v>
      </c>
      <c r="N110" s="2">
        <v>7.8</v>
      </c>
      <c r="O110" s="2">
        <v>513</v>
      </c>
      <c r="P110" s="2">
        <v>11</v>
      </c>
      <c r="Q110" s="4">
        <v>51.83</v>
      </c>
      <c r="R110" s="5">
        <v>1135.19</v>
      </c>
      <c r="S110" s="5">
        <v>58836.9</v>
      </c>
      <c r="T110" s="6">
        <v>6.0900000000000003E-2</v>
      </c>
      <c r="U110" s="5">
        <v>55253.73</v>
      </c>
      <c r="V110" s="5">
        <v>3511.76</v>
      </c>
      <c r="W110" s="6">
        <v>0.24199999999999999</v>
      </c>
      <c r="X110" s="5">
        <v>13371.4</v>
      </c>
      <c r="Y110" s="2" t="s">
        <v>69</v>
      </c>
      <c r="Z110" s="2" t="s">
        <v>80</v>
      </c>
      <c r="AA110" s="2" t="s">
        <v>35</v>
      </c>
    </row>
    <row r="111" spans="1:27">
      <c r="A111" s="2" t="s">
        <v>236</v>
      </c>
      <c r="B111" s="3">
        <v>45909</v>
      </c>
      <c r="C111" s="2">
        <v>2025</v>
      </c>
      <c r="D111" s="2" t="s">
        <v>37</v>
      </c>
      <c r="E111" s="2" t="s">
        <v>28</v>
      </c>
      <c r="F111" s="2" t="s">
        <v>98</v>
      </c>
      <c r="G111" s="2" t="s">
        <v>135</v>
      </c>
      <c r="H111" s="2" t="s">
        <v>31</v>
      </c>
      <c r="I111" s="2" t="s">
        <v>88</v>
      </c>
      <c r="J111" s="2" t="s">
        <v>42</v>
      </c>
      <c r="K111" s="2" t="s">
        <v>43</v>
      </c>
      <c r="L111" s="2" t="s">
        <v>44</v>
      </c>
      <c r="M111" s="2" t="s">
        <v>45</v>
      </c>
      <c r="N111" s="2">
        <v>28.83</v>
      </c>
      <c r="O111" s="2">
        <v>24</v>
      </c>
      <c r="P111" s="2">
        <v>11.9</v>
      </c>
      <c r="Q111" s="4">
        <v>598.88</v>
      </c>
      <c r="R111" s="5">
        <v>652.95000000000005</v>
      </c>
      <c r="S111" s="5">
        <v>391038.7</v>
      </c>
      <c r="T111" s="6">
        <v>7.3400000000000007E-2</v>
      </c>
      <c r="U111" s="5">
        <v>362336.46</v>
      </c>
      <c r="V111" s="5">
        <v>57132.3</v>
      </c>
      <c r="W111" s="6">
        <v>0.21460000000000001</v>
      </c>
      <c r="X111" s="5">
        <v>77757.399999999994</v>
      </c>
      <c r="Y111" s="2" t="s">
        <v>56</v>
      </c>
      <c r="Z111" s="2" t="s">
        <v>46</v>
      </c>
      <c r="AA111" s="2" t="s">
        <v>35</v>
      </c>
    </row>
    <row r="112" spans="1:27">
      <c r="A112" s="2" t="s">
        <v>237</v>
      </c>
      <c r="B112" s="3">
        <v>45575</v>
      </c>
      <c r="C112" s="2">
        <v>2024</v>
      </c>
      <c r="D112" s="2" t="s">
        <v>110</v>
      </c>
      <c r="E112" s="2" t="s">
        <v>77</v>
      </c>
      <c r="F112" s="2" t="s">
        <v>118</v>
      </c>
      <c r="G112" s="2" t="s">
        <v>155</v>
      </c>
      <c r="H112" s="2" t="s">
        <v>73</v>
      </c>
      <c r="I112" s="2" t="s">
        <v>116</v>
      </c>
      <c r="J112" s="2" t="s">
        <v>65</v>
      </c>
      <c r="K112" s="2" t="s">
        <v>66</v>
      </c>
      <c r="L112" s="2" t="s">
        <v>67</v>
      </c>
      <c r="M112" s="2" t="s">
        <v>122</v>
      </c>
      <c r="N112" s="2">
        <v>5.36</v>
      </c>
      <c r="O112" s="2">
        <v>279</v>
      </c>
      <c r="P112" s="2">
        <v>10.199999999999999</v>
      </c>
      <c r="Q112" s="4">
        <v>78.319999999999993</v>
      </c>
      <c r="R112" s="5">
        <v>1560.36</v>
      </c>
      <c r="S112" s="5">
        <v>122207.4</v>
      </c>
      <c r="T112" s="6">
        <v>1.9199999999999998E-2</v>
      </c>
      <c r="U112" s="5">
        <v>119861.02</v>
      </c>
      <c r="V112" s="5">
        <v>2930.19</v>
      </c>
      <c r="W112" s="6">
        <v>0.22220000000000001</v>
      </c>
      <c r="X112" s="5">
        <v>26633.119999999999</v>
      </c>
      <c r="Y112" s="2" t="s">
        <v>75</v>
      </c>
      <c r="Z112" s="2" t="s">
        <v>106</v>
      </c>
      <c r="AA112" s="2" t="s">
        <v>35</v>
      </c>
    </row>
    <row r="113" spans="1:27">
      <c r="A113" s="2" t="s">
        <v>238</v>
      </c>
      <c r="B113" s="3">
        <v>45352</v>
      </c>
      <c r="C113" s="2">
        <v>2024</v>
      </c>
      <c r="D113" s="2" t="s">
        <v>59</v>
      </c>
      <c r="E113" s="2" t="s">
        <v>60</v>
      </c>
      <c r="F113" s="2" t="s">
        <v>61</v>
      </c>
      <c r="G113" s="2" t="s">
        <v>132</v>
      </c>
      <c r="H113" s="2" t="s">
        <v>40</v>
      </c>
      <c r="I113" s="2" t="s">
        <v>52</v>
      </c>
      <c r="J113" s="2" t="s">
        <v>42</v>
      </c>
      <c r="K113" s="2" t="s">
        <v>43</v>
      </c>
      <c r="L113" s="2" t="s">
        <v>44</v>
      </c>
      <c r="M113" s="2" t="s">
        <v>171</v>
      </c>
      <c r="N113" s="2">
        <v>21.76</v>
      </c>
      <c r="O113" s="2">
        <v>16</v>
      </c>
      <c r="P113" s="2">
        <v>8.8000000000000007</v>
      </c>
      <c r="Q113" s="4">
        <v>330.19</v>
      </c>
      <c r="R113" s="5">
        <v>873.69</v>
      </c>
      <c r="S113" s="5">
        <v>288483.7</v>
      </c>
      <c r="T113" s="6">
        <v>6.6900000000000001E-2</v>
      </c>
      <c r="U113" s="5">
        <v>269184.14</v>
      </c>
      <c r="V113" s="5">
        <v>28041.74</v>
      </c>
      <c r="W113" s="6">
        <v>0.1288</v>
      </c>
      <c r="X113" s="5">
        <v>34670.92</v>
      </c>
      <c r="Y113" s="2" t="s">
        <v>69</v>
      </c>
      <c r="Z113" s="2" t="s">
        <v>106</v>
      </c>
      <c r="AA113" s="2" t="s">
        <v>35</v>
      </c>
    </row>
    <row r="114" spans="1:27">
      <c r="A114" s="2" t="s">
        <v>239</v>
      </c>
      <c r="B114" s="3">
        <v>45448</v>
      </c>
      <c r="C114" s="2">
        <v>2024</v>
      </c>
      <c r="D114" s="2" t="s">
        <v>91</v>
      </c>
      <c r="E114" s="2" t="s">
        <v>49</v>
      </c>
      <c r="F114" s="2" t="s">
        <v>118</v>
      </c>
      <c r="G114" s="2" t="s">
        <v>155</v>
      </c>
      <c r="H114" s="2" t="s">
        <v>73</v>
      </c>
      <c r="I114" s="2" t="s">
        <v>32</v>
      </c>
      <c r="J114" s="2" t="s">
        <v>42</v>
      </c>
      <c r="K114" s="2" t="s">
        <v>100</v>
      </c>
      <c r="L114" s="2" t="s">
        <v>101</v>
      </c>
      <c r="M114" s="2" t="s">
        <v>129</v>
      </c>
      <c r="N114" s="2">
        <v>3.07</v>
      </c>
      <c r="O114" s="2">
        <v>512</v>
      </c>
      <c r="P114" s="2">
        <v>10</v>
      </c>
      <c r="Q114" s="4">
        <v>33.26</v>
      </c>
      <c r="R114" s="5">
        <v>1230.3699999999999</v>
      </c>
      <c r="S114" s="5">
        <v>40922.11</v>
      </c>
      <c r="T114" s="6">
        <v>3.9300000000000002E-2</v>
      </c>
      <c r="U114" s="5">
        <v>39313.870000000003</v>
      </c>
      <c r="V114" s="5">
        <v>842.31</v>
      </c>
      <c r="W114" s="6">
        <v>0.19839999999999999</v>
      </c>
      <c r="X114" s="5">
        <v>7799.87</v>
      </c>
      <c r="Y114" s="2" t="s">
        <v>33</v>
      </c>
      <c r="Z114" s="2" t="s">
        <v>70</v>
      </c>
      <c r="AA114" s="2" t="s">
        <v>35</v>
      </c>
    </row>
    <row r="115" spans="1:27">
      <c r="A115" s="2" t="s">
        <v>240</v>
      </c>
      <c r="B115" s="3">
        <v>45993</v>
      </c>
      <c r="C115" s="2">
        <v>2025</v>
      </c>
      <c r="D115" s="2" t="s">
        <v>97</v>
      </c>
      <c r="E115" s="2" t="s">
        <v>77</v>
      </c>
      <c r="F115" s="2" t="s">
        <v>50</v>
      </c>
      <c r="G115" s="2" t="s">
        <v>51</v>
      </c>
      <c r="H115" s="2" t="s">
        <v>31</v>
      </c>
      <c r="I115" s="2" t="s">
        <v>32</v>
      </c>
      <c r="J115" s="2" t="s">
        <v>65</v>
      </c>
      <c r="K115" s="2" t="s">
        <v>100</v>
      </c>
      <c r="L115" s="2" t="s">
        <v>101</v>
      </c>
      <c r="M115" s="2" t="s">
        <v>145</v>
      </c>
      <c r="N115" s="2">
        <v>2.3199999999999998</v>
      </c>
      <c r="O115" s="2">
        <v>281</v>
      </c>
      <c r="P115" s="2">
        <v>4.0999999999999996</v>
      </c>
      <c r="Q115" s="4">
        <v>18.760000000000002</v>
      </c>
      <c r="R115" s="5">
        <v>1312.06</v>
      </c>
      <c r="S115" s="5">
        <v>24614.25</v>
      </c>
      <c r="T115" s="6">
        <v>3.4599999999999999E-2</v>
      </c>
      <c r="U115" s="5">
        <v>23762.6</v>
      </c>
      <c r="V115" s="5">
        <v>1478.21</v>
      </c>
      <c r="W115" s="6">
        <v>0.1799</v>
      </c>
      <c r="X115" s="5">
        <v>4274.8900000000003</v>
      </c>
      <c r="Y115" s="2" t="s">
        <v>69</v>
      </c>
      <c r="Z115" s="2" t="s">
        <v>57</v>
      </c>
      <c r="AA115" s="2" t="s">
        <v>35</v>
      </c>
    </row>
    <row r="116" spans="1:27">
      <c r="A116" s="2" t="s">
        <v>241</v>
      </c>
      <c r="B116" s="3">
        <v>45850</v>
      </c>
      <c r="C116" s="2">
        <v>2025</v>
      </c>
      <c r="D116" s="2" t="s">
        <v>104</v>
      </c>
      <c r="E116" s="2" t="s">
        <v>28</v>
      </c>
      <c r="F116" s="2" t="s">
        <v>29</v>
      </c>
      <c r="G116" s="2" t="s">
        <v>78</v>
      </c>
      <c r="H116" s="2" t="s">
        <v>63</v>
      </c>
      <c r="I116" s="2" t="s">
        <v>88</v>
      </c>
      <c r="J116" s="2" t="s">
        <v>65</v>
      </c>
      <c r="K116" s="2" t="s">
        <v>54</v>
      </c>
      <c r="L116" s="2" t="s">
        <v>54</v>
      </c>
      <c r="M116" s="2" t="s">
        <v>162</v>
      </c>
      <c r="N116" s="2">
        <v>46.64</v>
      </c>
      <c r="O116" s="2">
        <v>2979</v>
      </c>
      <c r="P116" s="2">
        <v>8</v>
      </c>
      <c r="Q116" s="4">
        <v>139.61000000000001</v>
      </c>
      <c r="R116" s="5">
        <v>1165.7</v>
      </c>
      <c r="S116" s="5">
        <v>162743.38</v>
      </c>
      <c r="T116" s="6">
        <v>2.6200000000000001E-2</v>
      </c>
      <c r="U116" s="5">
        <v>158479.5</v>
      </c>
      <c r="V116" s="5">
        <v>5487.92</v>
      </c>
      <c r="W116" s="6">
        <v>0.2596</v>
      </c>
      <c r="X116" s="5">
        <v>41141.279999999999</v>
      </c>
      <c r="Y116" s="2" t="s">
        <v>75</v>
      </c>
      <c r="Z116" s="2" t="s">
        <v>70</v>
      </c>
      <c r="AA116" s="2" t="s">
        <v>35</v>
      </c>
    </row>
    <row r="117" spans="1:27">
      <c r="A117" s="2" t="s">
        <v>242</v>
      </c>
      <c r="B117" s="3">
        <v>45822</v>
      </c>
      <c r="C117" s="2">
        <v>2025</v>
      </c>
      <c r="D117" s="2" t="s">
        <v>91</v>
      </c>
      <c r="E117" s="2" t="s">
        <v>49</v>
      </c>
      <c r="F117" s="2" t="s">
        <v>38</v>
      </c>
      <c r="G117" s="2" t="s">
        <v>39</v>
      </c>
      <c r="H117" s="2" t="s">
        <v>40</v>
      </c>
      <c r="I117" s="2" t="s">
        <v>41</v>
      </c>
      <c r="J117" s="2" t="s">
        <v>127</v>
      </c>
      <c r="K117" s="2" t="s">
        <v>54</v>
      </c>
      <c r="L117" s="2" t="s">
        <v>54</v>
      </c>
      <c r="M117" s="2" t="s">
        <v>94</v>
      </c>
      <c r="N117" s="2">
        <v>42.66</v>
      </c>
      <c r="O117" s="2">
        <v>2678</v>
      </c>
      <c r="P117" s="2">
        <v>7.7</v>
      </c>
      <c r="Q117" s="4">
        <v>144.6</v>
      </c>
      <c r="R117" s="5">
        <v>1237.6500000000001</v>
      </c>
      <c r="S117" s="5">
        <v>178964.19</v>
      </c>
      <c r="T117" s="6">
        <v>3.39E-2</v>
      </c>
      <c r="U117" s="5">
        <v>172897.3</v>
      </c>
      <c r="V117" s="5">
        <v>9340.4699999999993</v>
      </c>
      <c r="W117" s="6">
        <v>0.12529999999999999</v>
      </c>
      <c r="X117" s="5">
        <v>21664.03</v>
      </c>
      <c r="Y117" s="2" t="s">
        <v>69</v>
      </c>
      <c r="Z117" s="2" t="s">
        <v>46</v>
      </c>
      <c r="AA117" s="2" t="s">
        <v>35</v>
      </c>
    </row>
    <row r="118" spans="1:27">
      <c r="A118" s="2" t="s">
        <v>243</v>
      </c>
      <c r="B118" s="3">
        <v>45295</v>
      </c>
      <c r="C118" s="2">
        <v>2024</v>
      </c>
      <c r="D118" s="2" t="s">
        <v>71</v>
      </c>
      <c r="E118" s="2" t="s">
        <v>60</v>
      </c>
      <c r="F118" s="2" t="s">
        <v>50</v>
      </c>
      <c r="G118" s="2" t="s">
        <v>51</v>
      </c>
      <c r="H118" s="2" t="s">
        <v>73</v>
      </c>
      <c r="I118" s="2" t="s">
        <v>32</v>
      </c>
      <c r="J118" s="2" t="s">
        <v>65</v>
      </c>
      <c r="K118" s="2" t="s">
        <v>54</v>
      </c>
      <c r="L118" s="2" t="s">
        <v>54</v>
      </c>
      <c r="M118" s="2" t="s">
        <v>162</v>
      </c>
      <c r="N118" s="2">
        <v>23.69</v>
      </c>
      <c r="O118" s="2">
        <v>2148</v>
      </c>
      <c r="P118" s="2">
        <v>8.6999999999999993</v>
      </c>
      <c r="Q118" s="4">
        <v>165.31</v>
      </c>
      <c r="R118" s="5">
        <v>1042.4100000000001</v>
      </c>
      <c r="S118" s="5">
        <v>172320.8</v>
      </c>
      <c r="T118" s="6">
        <v>4.1399999999999999E-2</v>
      </c>
      <c r="U118" s="5">
        <v>165186.72</v>
      </c>
      <c r="V118" s="5">
        <v>3565.46</v>
      </c>
      <c r="W118" s="6">
        <v>0.19819999999999999</v>
      </c>
      <c r="X118" s="5">
        <v>32740.01</v>
      </c>
      <c r="Y118" s="2" t="s">
        <v>33</v>
      </c>
      <c r="Z118" s="2" t="s">
        <v>70</v>
      </c>
      <c r="AA118" s="2" t="s">
        <v>35</v>
      </c>
    </row>
    <row r="119" spans="1:27">
      <c r="A119" s="2" t="s">
        <v>244</v>
      </c>
      <c r="B119" s="3">
        <v>45535</v>
      </c>
      <c r="C119" s="2">
        <v>2024</v>
      </c>
      <c r="D119" s="2" t="s">
        <v>27</v>
      </c>
      <c r="E119" s="2" t="s">
        <v>28</v>
      </c>
      <c r="F119" s="2" t="s">
        <v>118</v>
      </c>
      <c r="G119" s="2" t="s">
        <v>121</v>
      </c>
      <c r="H119" s="2" t="s">
        <v>63</v>
      </c>
      <c r="I119" s="2" t="s">
        <v>88</v>
      </c>
      <c r="J119" s="2" t="s">
        <v>65</v>
      </c>
      <c r="K119" s="2" t="s">
        <v>66</v>
      </c>
      <c r="L119" s="2" t="s">
        <v>67</v>
      </c>
      <c r="M119" s="2" t="s">
        <v>140</v>
      </c>
      <c r="N119" s="2">
        <v>15.52</v>
      </c>
      <c r="O119" s="2">
        <v>294</v>
      </c>
      <c r="P119" s="2">
        <v>6.5</v>
      </c>
      <c r="Q119" s="4">
        <v>189.8</v>
      </c>
      <c r="R119" s="5">
        <v>1429.42</v>
      </c>
      <c r="S119" s="5">
        <v>271303.92</v>
      </c>
      <c r="T119" s="6">
        <v>2.1899999999999999E-2</v>
      </c>
      <c r="U119" s="5">
        <v>265362.36</v>
      </c>
      <c r="V119" s="5">
        <v>7897.36</v>
      </c>
      <c r="W119" s="6">
        <v>0.30359999999999998</v>
      </c>
      <c r="X119" s="5">
        <v>80564.009999999995</v>
      </c>
      <c r="Y119" s="2" t="s">
        <v>83</v>
      </c>
      <c r="Z119" s="2" t="s">
        <v>106</v>
      </c>
      <c r="AA119" s="2" t="s">
        <v>35</v>
      </c>
    </row>
    <row r="120" spans="1:27">
      <c r="A120" s="2" t="s">
        <v>245</v>
      </c>
      <c r="B120" s="3">
        <v>45510</v>
      </c>
      <c r="C120" s="2">
        <v>2024</v>
      </c>
      <c r="D120" s="2" t="s">
        <v>27</v>
      </c>
      <c r="E120" s="2" t="s">
        <v>28</v>
      </c>
      <c r="F120" s="2" t="s">
        <v>50</v>
      </c>
      <c r="G120" s="2" t="s">
        <v>115</v>
      </c>
      <c r="H120" s="2" t="s">
        <v>73</v>
      </c>
      <c r="I120" s="2" t="s">
        <v>88</v>
      </c>
      <c r="J120" s="2" t="s">
        <v>42</v>
      </c>
      <c r="K120" s="2" t="s">
        <v>100</v>
      </c>
      <c r="L120" s="2" t="s">
        <v>101</v>
      </c>
      <c r="M120" s="2" t="s">
        <v>108</v>
      </c>
      <c r="N120" s="2">
        <v>7.63</v>
      </c>
      <c r="O120" s="2">
        <v>571</v>
      </c>
      <c r="P120" s="2">
        <v>3.9</v>
      </c>
      <c r="Q120" s="4">
        <v>161.57</v>
      </c>
      <c r="R120" s="5">
        <v>1187.0999999999999</v>
      </c>
      <c r="S120" s="5">
        <v>191799.75</v>
      </c>
      <c r="T120" s="6">
        <v>4.2500000000000003E-2</v>
      </c>
      <c r="U120" s="5">
        <v>183648.26</v>
      </c>
      <c r="V120" s="5">
        <v>5248.54</v>
      </c>
      <c r="W120" s="6">
        <v>0.20680000000000001</v>
      </c>
      <c r="X120" s="5">
        <v>37978.46</v>
      </c>
      <c r="Y120" s="2" t="s">
        <v>56</v>
      </c>
      <c r="Z120" s="2" t="s">
        <v>80</v>
      </c>
      <c r="AA120" s="2" t="s">
        <v>35</v>
      </c>
    </row>
    <row r="121" spans="1:27">
      <c r="A121" s="2" t="s">
        <v>246</v>
      </c>
      <c r="B121" s="3">
        <v>45929</v>
      </c>
      <c r="C121" s="2">
        <v>2025</v>
      </c>
      <c r="D121" s="2" t="s">
        <v>37</v>
      </c>
      <c r="E121" s="2" t="s">
        <v>28</v>
      </c>
      <c r="F121" s="2" t="s">
        <v>50</v>
      </c>
      <c r="G121" s="2" t="s">
        <v>92</v>
      </c>
      <c r="H121" s="2" t="s">
        <v>31</v>
      </c>
      <c r="I121" s="2" t="s">
        <v>116</v>
      </c>
      <c r="J121" s="2" t="s">
        <v>42</v>
      </c>
      <c r="K121" s="2" t="s">
        <v>43</v>
      </c>
      <c r="L121" s="2" t="s">
        <v>44</v>
      </c>
      <c r="M121" s="2" t="s">
        <v>45</v>
      </c>
      <c r="N121" s="2">
        <v>8.61</v>
      </c>
      <c r="O121" s="2">
        <v>24</v>
      </c>
      <c r="P121" s="2">
        <v>4.9000000000000004</v>
      </c>
      <c r="Q121" s="4">
        <v>192.64</v>
      </c>
      <c r="R121" s="5">
        <v>723.43</v>
      </c>
      <c r="S121" s="5">
        <v>139361.56</v>
      </c>
      <c r="T121" s="6">
        <v>4.3999999999999997E-2</v>
      </c>
      <c r="U121" s="5">
        <v>133229.65</v>
      </c>
      <c r="V121" s="5">
        <v>15260.13</v>
      </c>
      <c r="W121" s="6">
        <v>0.23449999999999999</v>
      </c>
      <c r="X121" s="5">
        <v>31242.35</v>
      </c>
      <c r="Y121" s="2" t="s">
        <v>75</v>
      </c>
      <c r="Z121" s="2" t="s">
        <v>106</v>
      </c>
      <c r="AA121" s="2" t="s">
        <v>35</v>
      </c>
    </row>
    <row r="122" spans="1:27">
      <c r="A122" s="2" t="s">
        <v>247</v>
      </c>
      <c r="B122" s="3">
        <v>45866</v>
      </c>
      <c r="C122" s="2">
        <v>2025</v>
      </c>
      <c r="D122" s="2" t="s">
        <v>104</v>
      </c>
      <c r="E122" s="2" t="s">
        <v>28</v>
      </c>
      <c r="F122" s="2" t="s">
        <v>118</v>
      </c>
      <c r="G122" s="2" t="s">
        <v>155</v>
      </c>
      <c r="H122" s="2" t="s">
        <v>73</v>
      </c>
      <c r="I122" s="2" t="s">
        <v>88</v>
      </c>
      <c r="J122" s="2" t="s">
        <v>79</v>
      </c>
      <c r="K122" s="2" t="s">
        <v>100</v>
      </c>
      <c r="L122" s="2" t="s">
        <v>101</v>
      </c>
      <c r="M122" s="2" t="s">
        <v>102</v>
      </c>
      <c r="N122" s="2">
        <v>8.26</v>
      </c>
      <c r="O122" s="2">
        <v>272</v>
      </c>
      <c r="P122" s="2">
        <v>8.5</v>
      </c>
      <c r="Q122" s="4">
        <v>124.98</v>
      </c>
      <c r="R122" s="5">
        <v>1069.56</v>
      </c>
      <c r="S122" s="5">
        <v>133673.60999999999</v>
      </c>
      <c r="T122" s="6">
        <v>5.0099999999999999E-2</v>
      </c>
      <c r="U122" s="5">
        <v>126976.56</v>
      </c>
      <c r="V122" s="5">
        <v>3207.68</v>
      </c>
      <c r="W122" s="6">
        <v>0.16059999999999999</v>
      </c>
      <c r="X122" s="5">
        <v>20392.439999999999</v>
      </c>
      <c r="Y122" s="2" t="s">
        <v>69</v>
      </c>
      <c r="Z122" s="2" t="s">
        <v>80</v>
      </c>
      <c r="AA122" s="2" t="s">
        <v>35</v>
      </c>
    </row>
    <row r="123" spans="1:27">
      <c r="A123" s="2" t="s">
        <v>248</v>
      </c>
      <c r="B123" s="3">
        <v>45905</v>
      </c>
      <c r="C123" s="2">
        <v>2025</v>
      </c>
      <c r="D123" s="2" t="s">
        <v>37</v>
      </c>
      <c r="E123" s="2" t="s">
        <v>28</v>
      </c>
      <c r="F123" s="2" t="s">
        <v>98</v>
      </c>
      <c r="G123" s="2" t="s">
        <v>137</v>
      </c>
      <c r="H123" s="2" t="s">
        <v>31</v>
      </c>
      <c r="I123" s="2" t="s">
        <v>116</v>
      </c>
      <c r="J123" s="2" t="s">
        <v>79</v>
      </c>
      <c r="K123" s="2" t="s">
        <v>100</v>
      </c>
      <c r="L123" s="2" t="s">
        <v>101</v>
      </c>
      <c r="M123" s="2" t="s">
        <v>102</v>
      </c>
      <c r="N123" s="2">
        <v>8.98</v>
      </c>
      <c r="O123" s="2">
        <v>294</v>
      </c>
      <c r="P123" s="2">
        <v>10.9</v>
      </c>
      <c r="Q123" s="4">
        <v>120.87</v>
      </c>
      <c r="R123" s="5">
        <v>1091.55</v>
      </c>
      <c r="S123" s="5">
        <v>131935.65</v>
      </c>
      <c r="T123" s="6">
        <v>3.39E-2</v>
      </c>
      <c r="U123" s="5">
        <v>127463.03</v>
      </c>
      <c r="V123" s="5">
        <v>9805.7099999999991</v>
      </c>
      <c r="W123" s="6">
        <v>0.222</v>
      </c>
      <c r="X123" s="5">
        <v>28296.79</v>
      </c>
      <c r="Y123" s="2" t="s">
        <v>83</v>
      </c>
      <c r="Z123" s="2" t="s">
        <v>34</v>
      </c>
      <c r="AA123" s="2" t="s">
        <v>35</v>
      </c>
    </row>
    <row r="124" spans="1:27">
      <c r="A124" s="2" t="s">
        <v>249</v>
      </c>
      <c r="B124" s="3">
        <v>45890</v>
      </c>
      <c r="C124" s="2">
        <v>2025</v>
      </c>
      <c r="D124" s="2" t="s">
        <v>27</v>
      </c>
      <c r="E124" s="2" t="s">
        <v>28</v>
      </c>
      <c r="F124" s="2" t="s">
        <v>50</v>
      </c>
      <c r="G124" s="2" t="s">
        <v>115</v>
      </c>
      <c r="H124" s="2" t="s">
        <v>73</v>
      </c>
      <c r="I124" s="2" t="s">
        <v>52</v>
      </c>
      <c r="J124" s="2" t="s">
        <v>79</v>
      </c>
      <c r="K124" s="2" t="s">
        <v>100</v>
      </c>
      <c r="L124" s="2" t="s">
        <v>101</v>
      </c>
      <c r="M124" s="2" t="s">
        <v>145</v>
      </c>
      <c r="N124" s="2">
        <v>10.18</v>
      </c>
      <c r="O124" s="2">
        <v>482</v>
      </c>
      <c r="P124" s="2">
        <v>9.1</v>
      </c>
      <c r="Q124" s="4">
        <v>6.45</v>
      </c>
      <c r="R124" s="5">
        <v>1082.29</v>
      </c>
      <c r="S124" s="5">
        <v>6980.77</v>
      </c>
      <c r="T124" s="6">
        <v>3.0099999999999998E-2</v>
      </c>
      <c r="U124" s="5">
        <v>6770.65</v>
      </c>
      <c r="V124" s="5">
        <v>237.88</v>
      </c>
      <c r="W124" s="6">
        <v>0.2051</v>
      </c>
      <c r="X124" s="5">
        <v>1388.66</v>
      </c>
      <c r="Y124" s="2" t="s">
        <v>56</v>
      </c>
      <c r="Z124" s="2" t="s">
        <v>106</v>
      </c>
      <c r="AA124" s="2" t="s">
        <v>35</v>
      </c>
    </row>
    <row r="125" spans="1:27">
      <c r="A125" s="2" t="s">
        <v>250</v>
      </c>
      <c r="B125" s="3">
        <v>46004</v>
      </c>
      <c r="C125" s="2">
        <v>2025</v>
      </c>
      <c r="D125" s="2" t="s">
        <v>97</v>
      </c>
      <c r="E125" s="2" t="s">
        <v>77</v>
      </c>
      <c r="F125" s="2" t="s">
        <v>98</v>
      </c>
      <c r="G125" s="2" t="s">
        <v>99</v>
      </c>
      <c r="H125" s="2" t="s">
        <v>40</v>
      </c>
      <c r="I125" s="2" t="s">
        <v>41</v>
      </c>
      <c r="J125" s="2" t="s">
        <v>65</v>
      </c>
      <c r="K125" s="2" t="s">
        <v>54</v>
      </c>
      <c r="L125" s="2" t="s">
        <v>54</v>
      </c>
      <c r="M125" s="2" t="s">
        <v>158</v>
      </c>
      <c r="N125" s="2">
        <v>71.2</v>
      </c>
      <c r="O125" s="2">
        <v>1692</v>
      </c>
      <c r="P125" s="2">
        <v>3.5</v>
      </c>
      <c r="Q125" s="4">
        <v>159.80000000000001</v>
      </c>
      <c r="R125" s="5">
        <v>1126.3</v>
      </c>
      <c r="S125" s="5">
        <v>179982.74</v>
      </c>
      <c r="T125" s="6">
        <v>5.5500000000000001E-2</v>
      </c>
      <c r="U125" s="5">
        <v>169993.7</v>
      </c>
      <c r="V125" s="5">
        <v>13886.82</v>
      </c>
      <c r="W125" s="6">
        <v>0.23449999999999999</v>
      </c>
      <c r="X125" s="5">
        <v>39863.519999999997</v>
      </c>
      <c r="Y125" s="2" t="s">
        <v>56</v>
      </c>
      <c r="Z125" s="2" t="s">
        <v>125</v>
      </c>
      <c r="AA125" s="2" t="s">
        <v>35</v>
      </c>
    </row>
    <row r="126" spans="1:27">
      <c r="A126" s="2" t="s">
        <v>251</v>
      </c>
      <c r="B126" s="3">
        <v>45423</v>
      </c>
      <c r="C126" s="2">
        <v>2024</v>
      </c>
      <c r="D126" s="2" t="s">
        <v>81</v>
      </c>
      <c r="E126" s="2" t="s">
        <v>49</v>
      </c>
      <c r="F126" s="2" t="s">
        <v>50</v>
      </c>
      <c r="G126" s="2" t="s">
        <v>92</v>
      </c>
      <c r="H126" s="2" t="s">
        <v>63</v>
      </c>
      <c r="I126" s="2" t="s">
        <v>64</v>
      </c>
      <c r="J126" s="2" t="s">
        <v>79</v>
      </c>
      <c r="K126" s="2" t="s">
        <v>43</v>
      </c>
      <c r="L126" s="2" t="s">
        <v>44</v>
      </c>
      <c r="M126" s="2" t="s">
        <v>45</v>
      </c>
      <c r="N126" s="2">
        <v>11.7</v>
      </c>
      <c r="O126" s="2">
        <v>25</v>
      </c>
      <c r="P126" s="2">
        <v>11.6</v>
      </c>
      <c r="Q126" s="4">
        <v>288.29000000000002</v>
      </c>
      <c r="R126" s="5">
        <v>796.34</v>
      </c>
      <c r="S126" s="5">
        <v>229576.86</v>
      </c>
      <c r="T126" s="6">
        <v>4.48E-2</v>
      </c>
      <c r="U126" s="5">
        <v>219291.82</v>
      </c>
      <c r="V126" s="5">
        <v>6271.4</v>
      </c>
      <c r="W126" s="6">
        <v>0.18909999999999999</v>
      </c>
      <c r="X126" s="5">
        <v>41468.080000000002</v>
      </c>
      <c r="Y126" s="2" t="s">
        <v>33</v>
      </c>
      <c r="Z126" s="2" t="s">
        <v>125</v>
      </c>
      <c r="AA126" s="2" t="s">
        <v>35</v>
      </c>
    </row>
    <row r="127" spans="1:27">
      <c r="A127" s="2" t="s">
        <v>252</v>
      </c>
      <c r="B127" s="3">
        <v>45433</v>
      </c>
      <c r="C127" s="2">
        <v>2024</v>
      </c>
      <c r="D127" s="2" t="s">
        <v>81</v>
      </c>
      <c r="E127" s="2" t="s">
        <v>49</v>
      </c>
      <c r="F127" s="2" t="s">
        <v>118</v>
      </c>
      <c r="G127" s="2" t="s">
        <v>121</v>
      </c>
      <c r="H127" s="2" t="s">
        <v>63</v>
      </c>
      <c r="I127" s="2" t="s">
        <v>93</v>
      </c>
      <c r="J127" s="2" t="s">
        <v>53</v>
      </c>
      <c r="K127" s="2" t="s">
        <v>54</v>
      </c>
      <c r="L127" s="2" t="s">
        <v>54</v>
      </c>
      <c r="M127" s="2" t="s">
        <v>94</v>
      </c>
      <c r="N127" s="2">
        <v>71.209999999999994</v>
      </c>
      <c r="O127" s="2">
        <v>1267</v>
      </c>
      <c r="P127" s="2">
        <v>4.9000000000000004</v>
      </c>
      <c r="Q127" s="4">
        <v>15.49</v>
      </c>
      <c r="R127" s="5">
        <v>1160.4000000000001</v>
      </c>
      <c r="S127" s="5">
        <v>17974.599999999999</v>
      </c>
      <c r="T127" s="6">
        <v>2.4299999999999999E-2</v>
      </c>
      <c r="U127" s="5">
        <v>17537.82</v>
      </c>
      <c r="V127" s="5">
        <v>363.47</v>
      </c>
      <c r="W127" s="6">
        <v>0.20649999999999999</v>
      </c>
      <c r="X127" s="5">
        <v>3621.56</v>
      </c>
      <c r="Y127" s="2" t="s">
        <v>75</v>
      </c>
      <c r="Z127" s="2" t="s">
        <v>80</v>
      </c>
      <c r="AA127" s="2" t="s">
        <v>35</v>
      </c>
    </row>
    <row r="128" spans="1:27">
      <c r="A128" s="2" t="s">
        <v>253</v>
      </c>
      <c r="B128" s="3">
        <v>45403</v>
      </c>
      <c r="C128" s="2">
        <v>2024</v>
      </c>
      <c r="D128" s="2" t="s">
        <v>48</v>
      </c>
      <c r="E128" s="2" t="s">
        <v>49</v>
      </c>
      <c r="F128" s="2" t="s">
        <v>38</v>
      </c>
      <c r="G128" s="2" t="s">
        <v>82</v>
      </c>
      <c r="H128" s="2" t="s">
        <v>31</v>
      </c>
      <c r="I128" s="2" t="s">
        <v>116</v>
      </c>
      <c r="J128" s="2" t="s">
        <v>65</v>
      </c>
      <c r="K128" s="2" t="s">
        <v>100</v>
      </c>
      <c r="L128" s="2" t="s">
        <v>101</v>
      </c>
      <c r="M128" s="2" t="s">
        <v>102</v>
      </c>
      <c r="N128" s="2">
        <v>10.199999999999999</v>
      </c>
      <c r="O128" s="2">
        <v>251</v>
      </c>
      <c r="P128" s="2">
        <v>7.1</v>
      </c>
      <c r="Q128" s="4">
        <v>196.31</v>
      </c>
      <c r="R128" s="5">
        <v>1200.92</v>
      </c>
      <c r="S128" s="5">
        <v>235752.61</v>
      </c>
      <c r="T128" s="6">
        <v>4.4400000000000002E-2</v>
      </c>
      <c r="U128" s="5">
        <v>225285.19</v>
      </c>
      <c r="V128" s="5">
        <v>16067.58</v>
      </c>
      <c r="W128" s="6">
        <v>0.17030000000000001</v>
      </c>
      <c r="X128" s="5">
        <v>38366.07</v>
      </c>
      <c r="Y128" s="2" t="s">
        <v>56</v>
      </c>
      <c r="Z128" s="2" t="s">
        <v>34</v>
      </c>
      <c r="AA128" s="2" t="s">
        <v>35</v>
      </c>
    </row>
    <row r="129" spans="1:27">
      <c r="A129" s="2" t="s">
        <v>254</v>
      </c>
      <c r="B129" s="3">
        <v>45576</v>
      </c>
      <c r="C129" s="2">
        <v>2024</v>
      </c>
      <c r="D129" s="2" t="s">
        <v>110</v>
      </c>
      <c r="E129" s="2" t="s">
        <v>77</v>
      </c>
      <c r="F129" s="2" t="s">
        <v>98</v>
      </c>
      <c r="G129" s="2" t="s">
        <v>137</v>
      </c>
      <c r="H129" s="2" t="s">
        <v>40</v>
      </c>
      <c r="I129" s="2" t="s">
        <v>41</v>
      </c>
      <c r="J129" s="2" t="s">
        <v>42</v>
      </c>
      <c r="K129" s="2" t="s">
        <v>43</v>
      </c>
      <c r="L129" s="2" t="s">
        <v>44</v>
      </c>
      <c r="M129" s="2" t="s">
        <v>45</v>
      </c>
      <c r="N129" s="2">
        <v>25.81</v>
      </c>
      <c r="O129" s="2">
        <v>35</v>
      </c>
      <c r="P129" s="2">
        <v>10.3</v>
      </c>
      <c r="Q129" s="4">
        <v>486.74</v>
      </c>
      <c r="R129" s="5">
        <v>804.44</v>
      </c>
      <c r="S129" s="5">
        <v>391553.13</v>
      </c>
      <c r="T129" s="6">
        <v>6.6199999999999995E-2</v>
      </c>
      <c r="U129" s="5">
        <v>365632.31</v>
      </c>
      <c r="V129" s="5">
        <v>34060.83</v>
      </c>
      <c r="W129" s="6">
        <v>0.1545</v>
      </c>
      <c r="X129" s="5">
        <v>56490.19</v>
      </c>
      <c r="Y129" s="2" t="s">
        <v>33</v>
      </c>
      <c r="Z129" s="2" t="s">
        <v>70</v>
      </c>
      <c r="AA129" s="2" t="s">
        <v>35</v>
      </c>
    </row>
    <row r="130" spans="1:27">
      <c r="A130" s="2" t="s">
        <v>255</v>
      </c>
      <c r="B130" s="3">
        <v>45478</v>
      </c>
      <c r="C130" s="2">
        <v>2024</v>
      </c>
      <c r="D130" s="2" t="s">
        <v>104</v>
      </c>
      <c r="E130" s="2" t="s">
        <v>28</v>
      </c>
      <c r="F130" s="2" t="s">
        <v>50</v>
      </c>
      <c r="G130" s="2" t="s">
        <v>51</v>
      </c>
      <c r="H130" s="2" t="s">
        <v>40</v>
      </c>
      <c r="I130" s="2" t="s">
        <v>74</v>
      </c>
      <c r="J130" s="2" t="s">
        <v>79</v>
      </c>
      <c r="K130" s="2" t="s">
        <v>100</v>
      </c>
      <c r="L130" s="2" t="s">
        <v>101</v>
      </c>
      <c r="M130" s="2" t="s">
        <v>108</v>
      </c>
      <c r="N130" s="2">
        <v>9.94</v>
      </c>
      <c r="O130" s="2">
        <v>477</v>
      </c>
      <c r="P130" s="2">
        <v>8.4</v>
      </c>
      <c r="Q130" s="4">
        <v>198.87</v>
      </c>
      <c r="R130" s="5">
        <v>1241.99</v>
      </c>
      <c r="S130" s="5">
        <v>246994.55</v>
      </c>
      <c r="T130" s="6">
        <v>4.7899999999999998E-2</v>
      </c>
      <c r="U130" s="5">
        <v>235163.51</v>
      </c>
      <c r="V130" s="5">
        <v>13705.37</v>
      </c>
      <c r="W130" s="6">
        <v>0.17299999999999999</v>
      </c>
      <c r="X130" s="5">
        <v>40683.29</v>
      </c>
      <c r="Y130" s="2" t="s">
        <v>69</v>
      </c>
      <c r="Z130" s="2" t="s">
        <v>89</v>
      </c>
      <c r="AA130" s="2" t="s">
        <v>35</v>
      </c>
    </row>
    <row r="131" spans="1:27">
      <c r="A131" s="2" t="s">
        <v>256</v>
      </c>
      <c r="B131" s="3">
        <v>45562</v>
      </c>
      <c r="C131" s="2">
        <v>2024</v>
      </c>
      <c r="D131" s="2" t="s">
        <v>37</v>
      </c>
      <c r="E131" s="2" t="s">
        <v>28</v>
      </c>
      <c r="F131" s="2" t="s">
        <v>98</v>
      </c>
      <c r="G131" s="2" t="s">
        <v>111</v>
      </c>
      <c r="H131" s="2" t="s">
        <v>73</v>
      </c>
      <c r="I131" s="2" t="s">
        <v>32</v>
      </c>
      <c r="J131" s="2" t="s">
        <v>53</v>
      </c>
      <c r="K131" s="2" t="s">
        <v>54</v>
      </c>
      <c r="L131" s="2" t="s">
        <v>54</v>
      </c>
      <c r="M131" s="2" t="s">
        <v>162</v>
      </c>
      <c r="N131" s="2">
        <v>56.92</v>
      </c>
      <c r="O131" s="2">
        <v>2860</v>
      </c>
      <c r="P131" s="2">
        <v>11.7</v>
      </c>
      <c r="Q131" s="4">
        <v>79.260000000000005</v>
      </c>
      <c r="R131" s="5">
        <v>1065.27</v>
      </c>
      <c r="S131" s="5">
        <v>84433.3</v>
      </c>
      <c r="T131" s="6">
        <v>1.32E-2</v>
      </c>
      <c r="U131" s="5">
        <v>83318.78</v>
      </c>
      <c r="V131" s="5">
        <v>2676.79</v>
      </c>
      <c r="W131" s="6">
        <v>0.11990000000000001</v>
      </c>
      <c r="X131" s="5">
        <v>9989.92</v>
      </c>
      <c r="Y131" s="2" t="s">
        <v>83</v>
      </c>
      <c r="Z131" s="2" t="s">
        <v>57</v>
      </c>
      <c r="AA131" s="2" t="s">
        <v>35</v>
      </c>
    </row>
    <row r="132" spans="1:27">
      <c r="A132" s="2" t="s">
        <v>257</v>
      </c>
      <c r="B132" s="3">
        <v>45735</v>
      </c>
      <c r="C132" s="2">
        <v>2025</v>
      </c>
      <c r="D132" s="2" t="s">
        <v>59</v>
      </c>
      <c r="E132" s="2" t="s">
        <v>60</v>
      </c>
      <c r="F132" s="2" t="s">
        <v>50</v>
      </c>
      <c r="G132" s="2" t="s">
        <v>105</v>
      </c>
      <c r="H132" s="2" t="s">
        <v>31</v>
      </c>
      <c r="I132" s="2" t="s">
        <v>116</v>
      </c>
      <c r="J132" s="2" t="s">
        <v>65</v>
      </c>
      <c r="K132" s="2" t="s">
        <v>66</v>
      </c>
      <c r="L132" s="2" t="s">
        <v>67</v>
      </c>
      <c r="M132" s="2" t="s">
        <v>152</v>
      </c>
      <c r="N132" s="2">
        <v>12.43</v>
      </c>
      <c r="O132" s="2">
        <v>126</v>
      </c>
      <c r="P132" s="2">
        <v>6.7</v>
      </c>
      <c r="Q132" s="4">
        <v>137.94</v>
      </c>
      <c r="R132" s="5">
        <v>1699.13</v>
      </c>
      <c r="S132" s="5">
        <v>234377.99</v>
      </c>
      <c r="T132" s="6">
        <v>3.56E-2</v>
      </c>
      <c r="U132" s="5">
        <v>226034.13</v>
      </c>
      <c r="V132" s="5">
        <v>9589.83</v>
      </c>
      <c r="W132" s="6">
        <v>0.23830000000000001</v>
      </c>
      <c r="X132" s="5">
        <v>53863.93</v>
      </c>
      <c r="Y132" s="2" t="s">
        <v>69</v>
      </c>
      <c r="Z132" s="2" t="s">
        <v>89</v>
      </c>
      <c r="AA132" s="2" t="s">
        <v>35</v>
      </c>
    </row>
    <row r="133" spans="1:27">
      <c r="A133" s="2" t="s">
        <v>258</v>
      </c>
      <c r="B133" s="3">
        <v>45684</v>
      </c>
      <c r="C133" s="2">
        <v>2025</v>
      </c>
      <c r="D133" s="2" t="s">
        <v>71</v>
      </c>
      <c r="E133" s="2" t="s">
        <v>60</v>
      </c>
      <c r="F133" s="2" t="s">
        <v>61</v>
      </c>
      <c r="G133" s="2" t="s">
        <v>114</v>
      </c>
      <c r="H133" s="2" t="s">
        <v>31</v>
      </c>
      <c r="I133" s="2" t="s">
        <v>74</v>
      </c>
      <c r="J133" s="2" t="s">
        <v>79</v>
      </c>
      <c r="K133" s="2" t="s">
        <v>43</v>
      </c>
      <c r="L133" s="2" t="s">
        <v>44</v>
      </c>
      <c r="M133" s="2" t="s">
        <v>45</v>
      </c>
      <c r="N133" s="2">
        <v>23.34</v>
      </c>
      <c r="O133" s="2">
        <v>18</v>
      </c>
      <c r="P133" s="2">
        <v>11</v>
      </c>
      <c r="Q133" s="4">
        <v>189.9</v>
      </c>
      <c r="R133" s="5">
        <v>722</v>
      </c>
      <c r="S133" s="5">
        <v>137107.79999999999</v>
      </c>
      <c r="T133" s="6">
        <v>6.0699999999999997E-2</v>
      </c>
      <c r="U133" s="5">
        <v>128785.36</v>
      </c>
      <c r="V133" s="5">
        <v>10078</v>
      </c>
      <c r="W133" s="6">
        <v>0.2351</v>
      </c>
      <c r="X133" s="5">
        <v>30277.439999999999</v>
      </c>
      <c r="Y133" s="2" t="s">
        <v>33</v>
      </c>
      <c r="Z133" s="2" t="s">
        <v>125</v>
      </c>
      <c r="AA133" s="2" t="s">
        <v>35</v>
      </c>
    </row>
    <row r="134" spans="1:27">
      <c r="A134" s="2" t="s">
        <v>259</v>
      </c>
      <c r="B134" s="3">
        <v>45351</v>
      </c>
      <c r="C134" s="2">
        <v>2024</v>
      </c>
      <c r="D134" s="2" t="s">
        <v>113</v>
      </c>
      <c r="E134" s="2" t="s">
        <v>60</v>
      </c>
      <c r="F134" s="2" t="s">
        <v>98</v>
      </c>
      <c r="G134" s="2" t="s">
        <v>99</v>
      </c>
      <c r="H134" s="2" t="s">
        <v>73</v>
      </c>
      <c r="I134" s="2" t="s">
        <v>74</v>
      </c>
      <c r="J134" s="2" t="s">
        <v>65</v>
      </c>
      <c r="K134" s="2" t="s">
        <v>66</v>
      </c>
      <c r="L134" s="2" t="s">
        <v>67</v>
      </c>
      <c r="M134" s="2" t="s">
        <v>152</v>
      </c>
      <c r="N134" s="2">
        <v>10.79</v>
      </c>
      <c r="O134" s="2">
        <v>67</v>
      </c>
      <c r="P134" s="2">
        <v>3</v>
      </c>
      <c r="Q134" s="4">
        <v>52.31</v>
      </c>
      <c r="R134" s="5">
        <v>1514.04</v>
      </c>
      <c r="S134" s="5">
        <v>79199.429999999993</v>
      </c>
      <c r="T134" s="6">
        <v>1.4999999999999999E-2</v>
      </c>
      <c r="U134" s="5">
        <v>78011.44</v>
      </c>
      <c r="V134" s="5">
        <v>1555.67</v>
      </c>
      <c r="W134" s="6">
        <v>0.25369999999999998</v>
      </c>
      <c r="X134" s="5">
        <v>19791.5</v>
      </c>
      <c r="Y134" s="2" t="s">
        <v>69</v>
      </c>
      <c r="Z134" s="2" t="s">
        <v>70</v>
      </c>
      <c r="AA134" s="2" t="s">
        <v>35</v>
      </c>
    </row>
    <row r="135" spans="1:27">
      <c r="A135" s="2" t="s">
        <v>260</v>
      </c>
      <c r="B135" s="3">
        <v>45652</v>
      </c>
      <c r="C135" s="2">
        <v>2024</v>
      </c>
      <c r="D135" s="2" t="s">
        <v>97</v>
      </c>
      <c r="E135" s="2" t="s">
        <v>77</v>
      </c>
      <c r="F135" s="2" t="s">
        <v>50</v>
      </c>
      <c r="G135" s="2" t="s">
        <v>51</v>
      </c>
      <c r="H135" s="2" t="s">
        <v>31</v>
      </c>
      <c r="I135" s="2" t="s">
        <v>88</v>
      </c>
      <c r="J135" s="2" t="s">
        <v>65</v>
      </c>
      <c r="K135" s="2" t="s">
        <v>100</v>
      </c>
      <c r="L135" s="2" t="s">
        <v>101</v>
      </c>
      <c r="M135" s="2" t="s">
        <v>108</v>
      </c>
      <c r="N135" s="2">
        <v>2.77</v>
      </c>
      <c r="O135" s="2">
        <v>119</v>
      </c>
      <c r="P135" s="2">
        <v>11.4</v>
      </c>
      <c r="Q135" s="4">
        <v>190.38</v>
      </c>
      <c r="R135" s="5">
        <v>1238.1500000000001</v>
      </c>
      <c r="S135" s="5">
        <v>235719</v>
      </c>
      <c r="T135" s="6">
        <v>3.95E-2</v>
      </c>
      <c r="U135" s="5">
        <v>226408.1</v>
      </c>
      <c r="V135" s="5">
        <v>18369.75</v>
      </c>
      <c r="W135" s="6">
        <v>0.13950000000000001</v>
      </c>
      <c r="X135" s="5">
        <v>31583.93</v>
      </c>
      <c r="Y135" s="2" t="s">
        <v>75</v>
      </c>
      <c r="Z135" s="2" t="s">
        <v>125</v>
      </c>
      <c r="AA135" s="2" t="s">
        <v>35</v>
      </c>
    </row>
    <row r="136" spans="1:27">
      <c r="A136" s="2" t="s">
        <v>261</v>
      </c>
      <c r="B136" s="3">
        <v>45453</v>
      </c>
      <c r="C136" s="2">
        <v>2024</v>
      </c>
      <c r="D136" s="2" t="s">
        <v>91</v>
      </c>
      <c r="E136" s="2" t="s">
        <v>49</v>
      </c>
      <c r="F136" s="2" t="s">
        <v>86</v>
      </c>
      <c r="G136" s="2" t="s">
        <v>117</v>
      </c>
      <c r="H136" s="2" t="s">
        <v>63</v>
      </c>
      <c r="I136" s="2" t="s">
        <v>32</v>
      </c>
      <c r="J136" s="2" t="s">
        <v>79</v>
      </c>
      <c r="K136" s="2" t="s">
        <v>43</v>
      </c>
      <c r="L136" s="2" t="s">
        <v>44</v>
      </c>
      <c r="M136" s="2" t="s">
        <v>171</v>
      </c>
      <c r="N136" s="2">
        <v>17.97</v>
      </c>
      <c r="O136" s="2">
        <v>20</v>
      </c>
      <c r="P136" s="2">
        <v>10.6</v>
      </c>
      <c r="Q136" s="4">
        <v>617.37</v>
      </c>
      <c r="R136" s="5">
        <v>782.52</v>
      </c>
      <c r="S136" s="5">
        <v>483104.37</v>
      </c>
      <c r="T136" s="6">
        <v>6.4699999999999994E-2</v>
      </c>
      <c r="U136" s="5">
        <v>451847.52</v>
      </c>
      <c r="V136" s="5">
        <v>23958.07</v>
      </c>
      <c r="W136" s="6">
        <v>0.17219999999999999</v>
      </c>
      <c r="X136" s="5">
        <v>77808.14</v>
      </c>
      <c r="Y136" s="2" t="s">
        <v>56</v>
      </c>
      <c r="Z136" s="2" t="s">
        <v>70</v>
      </c>
      <c r="AA136" s="2" t="s">
        <v>35</v>
      </c>
    </row>
    <row r="137" spans="1:27">
      <c r="A137" s="2" t="s">
        <v>262</v>
      </c>
      <c r="B137" s="3">
        <v>45591</v>
      </c>
      <c r="C137" s="2">
        <v>2024</v>
      </c>
      <c r="D137" s="2" t="s">
        <v>110</v>
      </c>
      <c r="E137" s="2" t="s">
        <v>77</v>
      </c>
      <c r="F137" s="2" t="s">
        <v>38</v>
      </c>
      <c r="G137" s="2" t="s">
        <v>82</v>
      </c>
      <c r="H137" s="2" t="s">
        <v>40</v>
      </c>
      <c r="I137" s="2" t="s">
        <v>64</v>
      </c>
      <c r="J137" s="2" t="s">
        <v>79</v>
      </c>
      <c r="K137" s="2" t="s">
        <v>43</v>
      </c>
      <c r="L137" s="2" t="s">
        <v>44</v>
      </c>
      <c r="M137" s="2" t="s">
        <v>171</v>
      </c>
      <c r="N137" s="2">
        <v>17.989999999999998</v>
      </c>
      <c r="O137" s="2">
        <v>13</v>
      </c>
      <c r="P137" s="2">
        <v>6.9</v>
      </c>
      <c r="Q137" s="4">
        <v>104.02</v>
      </c>
      <c r="R137" s="5">
        <v>700.19</v>
      </c>
      <c r="S137" s="5">
        <v>72833.759999999995</v>
      </c>
      <c r="T137" s="6">
        <v>6.0499999999999998E-2</v>
      </c>
      <c r="U137" s="5">
        <v>68427.320000000007</v>
      </c>
      <c r="V137" s="5">
        <v>6369.23</v>
      </c>
      <c r="W137" s="6">
        <v>0.2402</v>
      </c>
      <c r="X137" s="5">
        <v>16436.240000000002</v>
      </c>
      <c r="Y137" s="2" t="s">
        <v>75</v>
      </c>
      <c r="Z137" s="2" t="s">
        <v>70</v>
      </c>
      <c r="AA137" s="2" t="s">
        <v>35</v>
      </c>
    </row>
    <row r="138" spans="1:27">
      <c r="A138" s="2" t="s">
        <v>263</v>
      </c>
      <c r="B138" s="3">
        <v>45421</v>
      </c>
      <c r="C138" s="2">
        <v>2024</v>
      </c>
      <c r="D138" s="2" t="s">
        <v>81</v>
      </c>
      <c r="E138" s="2" t="s">
        <v>49</v>
      </c>
      <c r="F138" s="2" t="s">
        <v>86</v>
      </c>
      <c r="G138" s="2" t="s">
        <v>134</v>
      </c>
      <c r="H138" s="2" t="s">
        <v>40</v>
      </c>
      <c r="I138" s="2" t="s">
        <v>52</v>
      </c>
      <c r="J138" s="2" t="s">
        <v>42</v>
      </c>
      <c r="K138" s="2" t="s">
        <v>100</v>
      </c>
      <c r="L138" s="2" t="s">
        <v>101</v>
      </c>
      <c r="M138" s="2" t="s">
        <v>145</v>
      </c>
      <c r="N138" s="2">
        <v>9.4</v>
      </c>
      <c r="O138" s="2">
        <v>343</v>
      </c>
      <c r="P138" s="2">
        <v>8.1</v>
      </c>
      <c r="Q138" s="4">
        <v>249.01</v>
      </c>
      <c r="R138" s="5">
        <v>1238.6400000000001</v>
      </c>
      <c r="S138" s="5">
        <v>308433.75</v>
      </c>
      <c r="T138" s="6">
        <v>1.9300000000000001E-2</v>
      </c>
      <c r="U138" s="5">
        <v>302480.98</v>
      </c>
      <c r="V138" s="5">
        <v>14268.77</v>
      </c>
      <c r="W138" s="6">
        <v>0.1358</v>
      </c>
      <c r="X138" s="5">
        <v>41076.92</v>
      </c>
      <c r="Y138" s="2" t="s">
        <v>69</v>
      </c>
      <c r="Z138" s="2" t="s">
        <v>57</v>
      </c>
      <c r="AA138" s="2" t="s">
        <v>35</v>
      </c>
    </row>
    <row r="139" spans="1:27">
      <c r="A139" s="2" t="s">
        <v>264</v>
      </c>
      <c r="B139" s="3">
        <v>45602</v>
      </c>
      <c r="C139" s="2">
        <v>2024</v>
      </c>
      <c r="D139" s="2" t="s">
        <v>76</v>
      </c>
      <c r="E139" s="2" t="s">
        <v>77</v>
      </c>
      <c r="F139" s="2" t="s">
        <v>50</v>
      </c>
      <c r="G139" s="2" t="s">
        <v>92</v>
      </c>
      <c r="H139" s="2" t="s">
        <v>63</v>
      </c>
      <c r="I139" s="2" t="s">
        <v>116</v>
      </c>
      <c r="J139" s="2" t="s">
        <v>79</v>
      </c>
      <c r="K139" s="2" t="s">
        <v>100</v>
      </c>
      <c r="L139" s="2" t="s">
        <v>101</v>
      </c>
      <c r="M139" s="2" t="s">
        <v>108</v>
      </c>
      <c r="N139" s="2">
        <v>11.34</v>
      </c>
      <c r="O139" s="2">
        <v>511</v>
      </c>
      <c r="P139" s="2">
        <v>8.5</v>
      </c>
      <c r="Q139" s="4">
        <v>186.15</v>
      </c>
      <c r="R139" s="5">
        <v>1221.8800000000001</v>
      </c>
      <c r="S139" s="5">
        <v>227452.96</v>
      </c>
      <c r="T139" s="6">
        <v>2.5499999999999998E-2</v>
      </c>
      <c r="U139" s="5">
        <v>221652.91</v>
      </c>
      <c r="V139" s="5">
        <v>4004.5</v>
      </c>
      <c r="W139" s="6">
        <v>0.22600000000000001</v>
      </c>
      <c r="X139" s="5">
        <v>50093.56</v>
      </c>
      <c r="Y139" s="2" t="s">
        <v>75</v>
      </c>
      <c r="Z139" s="2" t="s">
        <v>106</v>
      </c>
      <c r="AA139" s="2" t="s">
        <v>35</v>
      </c>
    </row>
    <row r="140" spans="1:27">
      <c r="A140" s="2" t="s">
        <v>265</v>
      </c>
      <c r="B140" s="3">
        <v>45968</v>
      </c>
      <c r="C140" s="2">
        <v>2025</v>
      </c>
      <c r="D140" s="2" t="s">
        <v>76</v>
      </c>
      <c r="E140" s="2" t="s">
        <v>77</v>
      </c>
      <c r="F140" s="2" t="s">
        <v>61</v>
      </c>
      <c r="G140" s="2" t="s">
        <v>62</v>
      </c>
      <c r="H140" s="2" t="s">
        <v>63</v>
      </c>
      <c r="I140" s="2" t="s">
        <v>88</v>
      </c>
      <c r="J140" s="2" t="s">
        <v>65</v>
      </c>
      <c r="K140" s="2" t="s">
        <v>66</v>
      </c>
      <c r="L140" s="2" t="s">
        <v>67</v>
      </c>
      <c r="M140" s="2" t="s">
        <v>140</v>
      </c>
      <c r="N140" s="2">
        <v>16.57</v>
      </c>
      <c r="O140" s="2">
        <v>75</v>
      </c>
      <c r="P140" s="2">
        <v>6.9</v>
      </c>
      <c r="Q140" s="4">
        <v>69.489999999999995</v>
      </c>
      <c r="R140" s="5">
        <v>1799.95</v>
      </c>
      <c r="S140" s="5">
        <v>125078.53</v>
      </c>
      <c r="T140" s="6">
        <v>3.9E-2</v>
      </c>
      <c r="U140" s="5">
        <v>120200.47</v>
      </c>
      <c r="V140" s="5">
        <v>2609.46</v>
      </c>
      <c r="W140" s="6">
        <v>0.18529999999999999</v>
      </c>
      <c r="X140" s="5">
        <v>22273.15</v>
      </c>
      <c r="Y140" s="2" t="s">
        <v>75</v>
      </c>
      <c r="Z140" s="2" t="s">
        <v>89</v>
      </c>
      <c r="AA140" s="2" t="s">
        <v>35</v>
      </c>
    </row>
    <row r="141" spans="1:27">
      <c r="A141" s="2" t="s">
        <v>266</v>
      </c>
      <c r="B141" s="3">
        <v>45446</v>
      </c>
      <c r="C141" s="2">
        <v>2024</v>
      </c>
      <c r="D141" s="2" t="s">
        <v>91</v>
      </c>
      <c r="E141" s="2" t="s">
        <v>49</v>
      </c>
      <c r="F141" s="2" t="s">
        <v>29</v>
      </c>
      <c r="G141" s="2" t="s">
        <v>78</v>
      </c>
      <c r="H141" s="2" t="s">
        <v>40</v>
      </c>
      <c r="I141" s="2" t="s">
        <v>64</v>
      </c>
      <c r="J141" s="2" t="s">
        <v>127</v>
      </c>
      <c r="K141" s="2" t="s">
        <v>54</v>
      </c>
      <c r="L141" s="2" t="s">
        <v>54</v>
      </c>
      <c r="M141" s="2" t="s">
        <v>94</v>
      </c>
      <c r="N141" s="2">
        <v>50.6</v>
      </c>
      <c r="O141" s="2">
        <v>1948</v>
      </c>
      <c r="P141" s="2">
        <v>3.5</v>
      </c>
      <c r="Q141" s="4">
        <v>125.69</v>
      </c>
      <c r="R141" s="5">
        <v>1157.2</v>
      </c>
      <c r="S141" s="5">
        <v>145448.47</v>
      </c>
      <c r="T141" s="6">
        <v>2.0400000000000001E-2</v>
      </c>
      <c r="U141" s="5">
        <v>142481.32</v>
      </c>
      <c r="V141" s="5">
        <v>10633.7</v>
      </c>
      <c r="W141" s="6">
        <v>0.13120000000000001</v>
      </c>
      <c r="X141" s="5">
        <v>18693.55</v>
      </c>
      <c r="Y141" s="2" t="s">
        <v>83</v>
      </c>
      <c r="Z141" s="2" t="s">
        <v>106</v>
      </c>
      <c r="AA141" s="2" t="s">
        <v>35</v>
      </c>
    </row>
    <row r="142" spans="1:27">
      <c r="A142" s="2" t="s">
        <v>267</v>
      </c>
      <c r="B142" s="3">
        <v>45722</v>
      </c>
      <c r="C142" s="2">
        <v>2025</v>
      </c>
      <c r="D142" s="2" t="s">
        <v>59</v>
      </c>
      <c r="E142" s="2" t="s">
        <v>60</v>
      </c>
      <c r="F142" s="2" t="s">
        <v>29</v>
      </c>
      <c r="G142" s="2" t="s">
        <v>95</v>
      </c>
      <c r="H142" s="2" t="s">
        <v>31</v>
      </c>
      <c r="I142" s="2" t="s">
        <v>41</v>
      </c>
      <c r="J142" s="2" t="s">
        <v>65</v>
      </c>
      <c r="K142" s="2" t="s">
        <v>54</v>
      </c>
      <c r="L142" s="2" t="s">
        <v>54</v>
      </c>
      <c r="M142" s="2" t="s">
        <v>162</v>
      </c>
      <c r="N142" s="2">
        <v>53.25</v>
      </c>
      <c r="O142" s="2">
        <v>2514</v>
      </c>
      <c r="P142" s="2">
        <v>7.3</v>
      </c>
      <c r="Q142" s="4">
        <v>27.83</v>
      </c>
      <c r="R142" s="5">
        <v>1351.1</v>
      </c>
      <c r="S142" s="5">
        <v>37601.11</v>
      </c>
      <c r="T142" s="6">
        <v>3.8600000000000002E-2</v>
      </c>
      <c r="U142" s="5">
        <v>36149.71</v>
      </c>
      <c r="V142" s="5">
        <v>2190.0100000000002</v>
      </c>
      <c r="W142" s="6">
        <v>0.18590000000000001</v>
      </c>
      <c r="X142" s="5">
        <v>6720.23</v>
      </c>
      <c r="Y142" s="2" t="s">
        <v>56</v>
      </c>
      <c r="Z142" s="2" t="s">
        <v>80</v>
      </c>
      <c r="AA142" s="2" t="s">
        <v>35</v>
      </c>
    </row>
    <row r="143" spans="1:27">
      <c r="A143" s="2" t="s">
        <v>268</v>
      </c>
      <c r="B143" s="3">
        <v>45831</v>
      </c>
      <c r="C143" s="2">
        <v>2025</v>
      </c>
      <c r="D143" s="2" t="s">
        <v>91</v>
      </c>
      <c r="E143" s="2" t="s">
        <v>49</v>
      </c>
      <c r="F143" s="2" t="s">
        <v>98</v>
      </c>
      <c r="G143" s="2" t="s">
        <v>99</v>
      </c>
      <c r="H143" s="2" t="s">
        <v>73</v>
      </c>
      <c r="I143" s="2" t="s">
        <v>41</v>
      </c>
      <c r="J143" s="2" t="s">
        <v>79</v>
      </c>
      <c r="K143" s="2" t="s">
        <v>43</v>
      </c>
      <c r="L143" s="2" t="s">
        <v>44</v>
      </c>
      <c r="M143" s="2" t="s">
        <v>124</v>
      </c>
      <c r="N143" s="2">
        <v>17.649999999999999</v>
      </c>
      <c r="O143" s="2">
        <v>34</v>
      </c>
      <c r="P143" s="2">
        <v>8.4</v>
      </c>
      <c r="Q143" s="4">
        <v>396.62</v>
      </c>
      <c r="R143" s="5">
        <v>715.4</v>
      </c>
      <c r="S143" s="5">
        <v>283741.95</v>
      </c>
      <c r="T143" s="6">
        <v>2.8500000000000001E-2</v>
      </c>
      <c r="U143" s="5">
        <v>275655.3</v>
      </c>
      <c r="V143" s="5">
        <v>12815.83</v>
      </c>
      <c r="W143" s="6">
        <v>0.18559999999999999</v>
      </c>
      <c r="X143" s="5">
        <v>51161.62</v>
      </c>
      <c r="Y143" s="2" t="s">
        <v>83</v>
      </c>
      <c r="Z143" s="2" t="s">
        <v>89</v>
      </c>
      <c r="AA143" s="2" t="s">
        <v>35</v>
      </c>
    </row>
    <row r="144" spans="1:27">
      <c r="A144" s="2" t="s">
        <v>269</v>
      </c>
      <c r="B144" s="3">
        <v>45832</v>
      </c>
      <c r="C144" s="2">
        <v>2025</v>
      </c>
      <c r="D144" s="2" t="s">
        <v>91</v>
      </c>
      <c r="E144" s="2" t="s">
        <v>49</v>
      </c>
      <c r="F144" s="2" t="s">
        <v>86</v>
      </c>
      <c r="G144" s="2" t="s">
        <v>87</v>
      </c>
      <c r="H144" s="2" t="s">
        <v>63</v>
      </c>
      <c r="I144" s="2" t="s">
        <v>64</v>
      </c>
      <c r="J144" s="2" t="s">
        <v>53</v>
      </c>
      <c r="K144" s="2" t="s">
        <v>54</v>
      </c>
      <c r="L144" s="2" t="s">
        <v>54</v>
      </c>
      <c r="M144" s="2" t="s">
        <v>55</v>
      </c>
      <c r="N144" s="2">
        <v>63.05</v>
      </c>
      <c r="O144" s="2">
        <v>2540</v>
      </c>
      <c r="P144" s="2">
        <v>6.9</v>
      </c>
      <c r="Q144" s="4">
        <v>114.08</v>
      </c>
      <c r="R144" s="5">
        <v>1268.55</v>
      </c>
      <c r="S144" s="5">
        <v>144716.18</v>
      </c>
      <c r="T144" s="6">
        <v>3.8899999999999997E-2</v>
      </c>
      <c r="U144" s="5">
        <v>139086.72</v>
      </c>
      <c r="V144" s="5">
        <v>3236.09</v>
      </c>
      <c r="W144" s="6">
        <v>0.12959999999999999</v>
      </c>
      <c r="X144" s="5">
        <v>18025.64</v>
      </c>
      <c r="Y144" s="2" t="s">
        <v>33</v>
      </c>
      <c r="Z144" s="2" t="s">
        <v>125</v>
      </c>
      <c r="AA144" s="2" t="s">
        <v>35</v>
      </c>
    </row>
    <row r="145" spans="1:27">
      <c r="A145" s="2" t="s">
        <v>270</v>
      </c>
      <c r="B145" s="3">
        <v>45753</v>
      </c>
      <c r="C145" s="2">
        <v>2025</v>
      </c>
      <c r="D145" s="2" t="s">
        <v>48</v>
      </c>
      <c r="E145" s="2" t="s">
        <v>49</v>
      </c>
      <c r="F145" s="2" t="s">
        <v>118</v>
      </c>
      <c r="G145" s="2" t="s">
        <v>155</v>
      </c>
      <c r="H145" s="2" t="s">
        <v>40</v>
      </c>
      <c r="I145" s="2" t="s">
        <v>74</v>
      </c>
      <c r="J145" s="2" t="s">
        <v>79</v>
      </c>
      <c r="K145" s="2" t="s">
        <v>100</v>
      </c>
      <c r="L145" s="2" t="s">
        <v>101</v>
      </c>
      <c r="M145" s="2" t="s">
        <v>108</v>
      </c>
      <c r="N145" s="2">
        <v>15.9</v>
      </c>
      <c r="O145" s="2">
        <v>103</v>
      </c>
      <c r="P145" s="2">
        <v>7.3</v>
      </c>
      <c r="Q145" s="4">
        <v>210.13</v>
      </c>
      <c r="R145" s="5">
        <v>1205.54</v>
      </c>
      <c r="S145" s="5">
        <v>253320.12</v>
      </c>
      <c r="T145" s="6">
        <v>3.9300000000000002E-2</v>
      </c>
      <c r="U145" s="5">
        <v>243364.64</v>
      </c>
      <c r="V145" s="5">
        <v>17689.650000000001</v>
      </c>
      <c r="W145" s="6">
        <v>0.13950000000000001</v>
      </c>
      <c r="X145" s="5">
        <v>33949.370000000003</v>
      </c>
      <c r="Y145" s="2" t="s">
        <v>33</v>
      </c>
      <c r="Z145" s="2" t="s">
        <v>106</v>
      </c>
      <c r="AA145" s="2" t="s">
        <v>35</v>
      </c>
    </row>
    <row r="146" spans="1:27">
      <c r="A146" s="2" t="s">
        <v>271</v>
      </c>
      <c r="B146" s="3">
        <v>45578</v>
      </c>
      <c r="C146" s="2">
        <v>2024</v>
      </c>
      <c r="D146" s="2" t="s">
        <v>110</v>
      </c>
      <c r="E146" s="2" t="s">
        <v>77</v>
      </c>
      <c r="F146" s="2" t="s">
        <v>29</v>
      </c>
      <c r="G146" s="2" t="s">
        <v>95</v>
      </c>
      <c r="H146" s="2" t="s">
        <v>31</v>
      </c>
      <c r="I146" s="2" t="s">
        <v>93</v>
      </c>
      <c r="J146" s="2" t="s">
        <v>65</v>
      </c>
      <c r="K146" s="2" t="s">
        <v>54</v>
      </c>
      <c r="L146" s="2" t="s">
        <v>54</v>
      </c>
      <c r="M146" s="2" t="s">
        <v>55</v>
      </c>
      <c r="N146" s="2">
        <v>61.5</v>
      </c>
      <c r="O146" s="2">
        <v>1594</v>
      </c>
      <c r="P146" s="2">
        <v>5.4</v>
      </c>
      <c r="Q146" s="4">
        <v>165.81</v>
      </c>
      <c r="R146" s="5">
        <v>1233.8800000000001</v>
      </c>
      <c r="S146" s="5">
        <v>204589.64</v>
      </c>
      <c r="T146" s="6">
        <v>5.0999999999999997E-2</v>
      </c>
      <c r="U146" s="5">
        <v>194155.57</v>
      </c>
      <c r="V146" s="5">
        <v>15960.05</v>
      </c>
      <c r="W146" s="6">
        <v>0.1552</v>
      </c>
      <c r="X146" s="5">
        <v>30132.94</v>
      </c>
      <c r="Y146" s="2" t="s">
        <v>75</v>
      </c>
      <c r="Z146" s="2" t="s">
        <v>106</v>
      </c>
      <c r="AA146" s="2" t="s">
        <v>35</v>
      </c>
    </row>
    <row r="147" spans="1:27">
      <c r="A147" s="2" t="s">
        <v>272</v>
      </c>
      <c r="B147" s="3">
        <v>45422</v>
      </c>
      <c r="C147" s="2">
        <v>2024</v>
      </c>
      <c r="D147" s="2" t="s">
        <v>81</v>
      </c>
      <c r="E147" s="2" t="s">
        <v>49</v>
      </c>
      <c r="F147" s="2" t="s">
        <v>29</v>
      </c>
      <c r="G147" s="2" t="s">
        <v>78</v>
      </c>
      <c r="H147" s="2" t="s">
        <v>40</v>
      </c>
      <c r="I147" s="2" t="s">
        <v>88</v>
      </c>
      <c r="J147" s="2" t="s">
        <v>79</v>
      </c>
      <c r="K147" s="2" t="s">
        <v>43</v>
      </c>
      <c r="L147" s="2" t="s">
        <v>44</v>
      </c>
      <c r="M147" s="2" t="s">
        <v>85</v>
      </c>
      <c r="N147" s="2">
        <v>35.72</v>
      </c>
      <c r="O147" s="2">
        <v>28</v>
      </c>
      <c r="P147" s="2">
        <v>5.8</v>
      </c>
      <c r="Q147" s="4">
        <v>609.30999999999995</v>
      </c>
      <c r="R147" s="5">
        <v>821.8</v>
      </c>
      <c r="S147" s="5">
        <v>500730.96</v>
      </c>
      <c r="T147" s="6">
        <v>7.3800000000000004E-2</v>
      </c>
      <c r="U147" s="5">
        <v>463777.02</v>
      </c>
      <c r="V147" s="5">
        <v>56630.04</v>
      </c>
      <c r="W147" s="6">
        <v>0.25440000000000002</v>
      </c>
      <c r="X147" s="5">
        <v>117984.87</v>
      </c>
      <c r="Y147" s="2" t="s">
        <v>69</v>
      </c>
      <c r="Z147" s="2" t="s">
        <v>57</v>
      </c>
      <c r="AA147" s="2" t="s">
        <v>35</v>
      </c>
    </row>
    <row r="148" spans="1:27">
      <c r="A148" s="2" t="s">
        <v>273</v>
      </c>
      <c r="B148" s="3">
        <v>45617</v>
      </c>
      <c r="C148" s="2">
        <v>2024</v>
      </c>
      <c r="D148" s="2" t="s">
        <v>76</v>
      </c>
      <c r="E148" s="2" t="s">
        <v>77</v>
      </c>
      <c r="F148" s="2" t="s">
        <v>38</v>
      </c>
      <c r="G148" s="2" t="s">
        <v>72</v>
      </c>
      <c r="H148" s="2" t="s">
        <v>31</v>
      </c>
      <c r="I148" s="2" t="s">
        <v>32</v>
      </c>
      <c r="J148" s="2" t="s">
        <v>127</v>
      </c>
      <c r="K148" s="2" t="s">
        <v>54</v>
      </c>
      <c r="L148" s="2" t="s">
        <v>54</v>
      </c>
      <c r="M148" s="2" t="s">
        <v>158</v>
      </c>
      <c r="N148" s="2">
        <v>34.119999999999997</v>
      </c>
      <c r="O148" s="2">
        <v>2709</v>
      </c>
      <c r="P148" s="2">
        <v>3.7</v>
      </c>
      <c r="Q148" s="4">
        <v>164.49</v>
      </c>
      <c r="R148" s="5">
        <v>1242.05</v>
      </c>
      <c r="S148" s="5">
        <v>204304.8</v>
      </c>
      <c r="T148" s="6">
        <v>2.2200000000000001E-2</v>
      </c>
      <c r="U148" s="5">
        <v>199769.23</v>
      </c>
      <c r="V148" s="5">
        <v>10905.31</v>
      </c>
      <c r="W148" s="6">
        <v>0.13150000000000001</v>
      </c>
      <c r="X148" s="5">
        <v>26269.65</v>
      </c>
      <c r="Y148" s="2" t="s">
        <v>69</v>
      </c>
      <c r="Z148" s="2" t="s">
        <v>106</v>
      </c>
      <c r="AA148" s="2" t="s">
        <v>35</v>
      </c>
    </row>
    <row r="149" spans="1:27">
      <c r="A149" s="2" t="s">
        <v>274</v>
      </c>
      <c r="B149" s="3">
        <v>45700</v>
      </c>
      <c r="C149" s="2">
        <v>2025</v>
      </c>
      <c r="D149" s="2" t="s">
        <v>113</v>
      </c>
      <c r="E149" s="2" t="s">
        <v>60</v>
      </c>
      <c r="F149" s="2" t="s">
        <v>50</v>
      </c>
      <c r="G149" s="2" t="s">
        <v>51</v>
      </c>
      <c r="H149" s="2" t="s">
        <v>63</v>
      </c>
      <c r="I149" s="2" t="s">
        <v>32</v>
      </c>
      <c r="J149" s="2" t="s">
        <v>127</v>
      </c>
      <c r="K149" s="2" t="s">
        <v>54</v>
      </c>
      <c r="L149" s="2" t="s">
        <v>54</v>
      </c>
      <c r="M149" s="2" t="s">
        <v>162</v>
      </c>
      <c r="N149" s="2">
        <v>16.670000000000002</v>
      </c>
      <c r="O149" s="2">
        <v>1950</v>
      </c>
      <c r="P149" s="2">
        <v>8.6</v>
      </c>
      <c r="Q149" s="4">
        <v>17.78</v>
      </c>
      <c r="R149" s="5">
        <v>1073.21</v>
      </c>
      <c r="S149" s="5">
        <v>19081.669999999998</v>
      </c>
      <c r="T149" s="6">
        <v>4.3499999999999997E-2</v>
      </c>
      <c r="U149" s="5">
        <v>18251.62</v>
      </c>
      <c r="V149" s="5">
        <v>391.19</v>
      </c>
      <c r="W149" s="6">
        <v>0.26700000000000002</v>
      </c>
      <c r="X149" s="5">
        <v>4873.18</v>
      </c>
      <c r="Y149" s="2" t="s">
        <v>83</v>
      </c>
      <c r="Z149" s="2" t="s">
        <v>125</v>
      </c>
      <c r="AA149" s="2" t="s">
        <v>35</v>
      </c>
    </row>
    <row r="150" spans="1:27">
      <c r="A150" s="2" t="s">
        <v>275</v>
      </c>
      <c r="B150" s="3">
        <v>45686</v>
      </c>
      <c r="C150" s="2">
        <v>2025</v>
      </c>
      <c r="D150" s="2" t="s">
        <v>71</v>
      </c>
      <c r="E150" s="2" t="s">
        <v>60</v>
      </c>
      <c r="F150" s="2" t="s">
        <v>86</v>
      </c>
      <c r="G150" s="2" t="s">
        <v>117</v>
      </c>
      <c r="H150" s="2" t="s">
        <v>31</v>
      </c>
      <c r="I150" s="2" t="s">
        <v>52</v>
      </c>
      <c r="J150" s="2" t="s">
        <v>65</v>
      </c>
      <c r="K150" s="2" t="s">
        <v>100</v>
      </c>
      <c r="L150" s="2" t="s">
        <v>101</v>
      </c>
      <c r="M150" s="2" t="s">
        <v>145</v>
      </c>
      <c r="N150" s="2">
        <v>8.1199999999999992</v>
      </c>
      <c r="O150" s="2">
        <v>144</v>
      </c>
      <c r="P150" s="2">
        <v>6.7</v>
      </c>
      <c r="Q150" s="4">
        <v>197.62</v>
      </c>
      <c r="R150" s="5">
        <v>1033.52</v>
      </c>
      <c r="S150" s="5">
        <v>204244.22</v>
      </c>
      <c r="T150" s="6">
        <v>5.2900000000000003E-2</v>
      </c>
      <c r="U150" s="5">
        <v>193439.7</v>
      </c>
      <c r="V150" s="5">
        <v>16101.77</v>
      </c>
      <c r="W150" s="6">
        <v>0.1925</v>
      </c>
      <c r="X150" s="5">
        <v>37237.14</v>
      </c>
      <c r="Y150" s="2" t="s">
        <v>69</v>
      </c>
      <c r="Z150" s="2" t="s">
        <v>106</v>
      </c>
      <c r="AA150" s="2" t="s">
        <v>35</v>
      </c>
    </row>
    <row r="151" spans="1:27">
      <c r="A151" s="2" t="s">
        <v>276</v>
      </c>
      <c r="B151" s="3">
        <v>45601</v>
      </c>
      <c r="C151" s="2">
        <v>2024</v>
      </c>
      <c r="D151" s="2" t="s">
        <v>76</v>
      </c>
      <c r="E151" s="2" t="s">
        <v>77</v>
      </c>
      <c r="F151" s="2" t="s">
        <v>61</v>
      </c>
      <c r="G151" s="2" t="s">
        <v>62</v>
      </c>
      <c r="H151" s="2" t="s">
        <v>40</v>
      </c>
      <c r="I151" s="2" t="s">
        <v>116</v>
      </c>
      <c r="J151" s="2" t="s">
        <v>53</v>
      </c>
      <c r="K151" s="2" t="s">
        <v>54</v>
      </c>
      <c r="L151" s="2" t="s">
        <v>54</v>
      </c>
      <c r="M151" s="2" t="s">
        <v>162</v>
      </c>
      <c r="N151" s="2">
        <v>65.540000000000006</v>
      </c>
      <c r="O151" s="2">
        <v>2027</v>
      </c>
      <c r="P151" s="2">
        <v>9.1</v>
      </c>
      <c r="Q151" s="4">
        <v>82.52</v>
      </c>
      <c r="R151" s="5">
        <v>1197.32</v>
      </c>
      <c r="S151" s="5">
        <v>98802.85</v>
      </c>
      <c r="T151" s="6">
        <v>2.93E-2</v>
      </c>
      <c r="U151" s="5">
        <v>95907.93</v>
      </c>
      <c r="V151" s="5">
        <v>4974.88</v>
      </c>
      <c r="W151" s="6">
        <v>0.1646</v>
      </c>
      <c r="X151" s="5">
        <v>15786.45</v>
      </c>
      <c r="Y151" s="2" t="s">
        <v>56</v>
      </c>
      <c r="Z151" s="2" t="s">
        <v>80</v>
      </c>
      <c r="AA151" s="2" t="s">
        <v>35</v>
      </c>
    </row>
    <row r="152" spans="1:27">
      <c r="A152" s="2" t="s">
        <v>277</v>
      </c>
      <c r="B152" s="3">
        <v>45716</v>
      </c>
      <c r="C152" s="2">
        <v>2025</v>
      </c>
      <c r="D152" s="2" t="s">
        <v>113</v>
      </c>
      <c r="E152" s="2" t="s">
        <v>60</v>
      </c>
      <c r="F152" s="2" t="s">
        <v>29</v>
      </c>
      <c r="G152" s="2" t="s">
        <v>95</v>
      </c>
      <c r="H152" s="2" t="s">
        <v>31</v>
      </c>
      <c r="I152" s="2" t="s">
        <v>64</v>
      </c>
      <c r="J152" s="2" t="s">
        <v>79</v>
      </c>
      <c r="K152" s="2" t="s">
        <v>100</v>
      </c>
      <c r="L152" s="2" t="s">
        <v>101</v>
      </c>
      <c r="M152" s="2" t="s">
        <v>129</v>
      </c>
      <c r="N152" s="2">
        <v>11.51</v>
      </c>
      <c r="O152" s="2">
        <v>516</v>
      </c>
      <c r="P152" s="2">
        <v>4.9000000000000004</v>
      </c>
      <c r="Q152" s="4">
        <v>5.72</v>
      </c>
      <c r="R152" s="5">
        <v>1146.1099999999999</v>
      </c>
      <c r="S152" s="5">
        <v>6555.75</v>
      </c>
      <c r="T152" s="6">
        <v>3.9300000000000002E-2</v>
      </c>
      <c r="U152" s="5">
        <v>6298.11</v>
      </c>
      <c r="V152" s="5">
        <v>488.61</v>
      </c>
      <c r="W152" s="6">
        <v>0.20580000000000001</v>
      </c>
      <c r="X152" s="5">
        <v>1296.1500000000001</v>
      </c>
      <c r="Y152" s="2" t="s">
        <v>75</v>
      </c>
      <c r="Z152" s="2" t="s">
        <v>46</v>
      </c>
      <c r="AA152" s="2" t="s">
        <v>35</v>
      </c>
    </row>
    <row r="153" spans="1:27">
      <c r="A153" s="2" t="s">
        <v>278</v>
      </c>
      <c r="B153" s="3">
        <v>45612</v>
      </c>
      <c r="C153" s="2">
        <v>2024</v>
      </c>
      <c r="D153" s="2" t="s">
        <v>76</v>
      </c>
      <c r="E153" s="2" t="s">
        <v>77</v>
      </c>
      <c r="F153" s="2" t="s">
        <v>50</v>
      </c>
      <c r="G153" s="2" t="s">
        <v>51</v>
      </c>
      <c r="H153" s="2" t="s">
        <v>31</v>
      </c>
      <c r="I153" s="2" t="s">
        <v>41</v>
      </c>
      <c r="J153" s="2" t="s">
        <v>79</v>
      </c>
      <c r="K153" s="2" t="s">
        <v>100</v>
      </c>
      <c r="L153" s="2" t="s">
        <v>101</v>
      </c>
      <c r="M153" s="2" t="s">
        <v>145</v>
      </c>
      <c r="N153" s="2">
        <v>3.94</v>
      </c>
      <c r="O153" s="2">
        <v>307</v>
      </c>
      <c r="P153" s="2">
        <v>4.0999999999999996</v>
      </c>
      <c r="Q153" s="4">
        <v>95.93</v>
      </c>
      <c r="R153" s="5">
        <v>1194.67</v>
      </c>
      <c r="S153" s="5">
        <v>114604.69</v>
      </c>
      <c r="T153" s="6">
        <v>3.6999999999999998E-2</v>
      </c>
      <c r="U153" s="5">
        <v>110364.32</v>
      </c>
      <c r="V153" s="5">
        <v>8604.43</v>
      </c>
      <c r="W153" s="6">
        <v>0.18149999999999999</v>
      </c>
      <c r="X153" s="5">
        <v>20031.12</v>
      </c>
      <c r="Y153" s="2" t="s">
        <v>33</v>
      </c>
      <c r="Z153" s="2" t="s">
        <v>57</v>
      </c>
      <c r="AA153" s="2" t="s">
        <v>35</v>
      </c>
    </row>
    <row r="154" spans="1:27">
      <c r="A154" s="2" t="s">
        <v>279</v>
      </c>
      <c r="B154" s="3">
        <v>45944</v>
      </c>
      <c r="C154" s="2">
        <v>2025</v>
      </c>
      <c r="D154" s="2" t="s">
        <v>110</v>
      </c>
      <c r="E154" s="2" t="s">
        <v>77</v>
      </c>
      <c r="F154" s="2" t="s">
        <v>118</v>
      </c>
      <c r="G154" s="2" t="s">
        <v>119</v>
      </c>
      <c r="H154" s="2" t="s">
        <v>40</v>
      </c>
      <c r="I154" s="2" t="s">
        <v>41</v>
      </c>
      <c r="J154" s="2" t="s">
        <v>42</v>
      </c>
      <c r="K154" s="2" t="s">
        <v>43</v>
      </c>
      <c r="L154" s="2" t="s">
        <v>44</v>
      </c>
      <c r="M154" s="2" t="s">
        <v>45</v>
      </c>
      <c r="N154" s="2">
        <v>36.880000000000003</v>
      </c>
      <c r="O154" s="2">
        <v>24</v>
      </c>
      <c r="P154" s="2">
        <v>10.3</v>
      </c>
      <c r="Q154" s="4">
        <v>620.89</v>
      </c>
      <c r="R154" s="5">
        <v>729.04</v>
      </c>
      <c r="S154" s="5">
        <v>452653.65</v>
      </c>
      <c r="T154" s="6">
        <v>4.7399999999999998E-2</v>
      </c>
      <c r="U154" s="5">
        <v>431197.87</v>
      </c>
      <c r="V154" s="5">
        <v>54006.15</v>
      </c>
      <c r="W154" s="6">
        <v>0.20080000000000001</v>
      </c>
      <c r="X154" s="5">
        <v>86584.53</v>
      </c>
      <c r="Y154" s="2" t="s">
        <v>56</v>
      </c>
      <c r="Z154" s="2" t="s">
        <v>46</v>
      </c>
      <c r="AA154" s="2" t="s">
        <v>35</v>
      </c>
    </row>
    <row r="155" spans="1:27">
      <c r="A155" s="2" t="s">
        <v>280</v>
      </c>
      <c r="B155" s="3">
        <v>45748</v>
      </c>
      <c r="C155" s="2">
        <v>2025</v>
      </c>
      <c r="D155" s="2" t="s">
        <v>48</v>
      </c>
      <c r="E155" s="2" t="s">
        <v>49</v>
      </c>
      <c r="F155" s="2" t="s">
        <v>98</v>
      </c>
      <c r="G155" s="2" t="s">
        <v>137</v>
      </c>
      <c r="H155" s="2" t="s">
        <v>73</v>
      </c>
      <c r="I155" s="2" t="s">
        <v>32</v>
      </c>
      <c r="J155" s="2" t="s">
        <v>79</v>
      </c>
      <c r="K155" s="2" t="s">
        <v>100</v>
      </c>
      <c r="L155" s="2" t="s">
        <v>101</v>
      </c>
      <c r="M155" s="2" t="s">
        <v>108</v>
      </c>
      <c r="N155" s="2">
        <v>7.29</v>
      </c>
      <c r="O155" s="2">
        <v>558</v>
      </c>
      <c r="P155" s="2">
        <v>8.1</v>
      </c>
      <c r="Q155" s="4">
        <v>11.35</v>
      </c>
      <c r="R155" s="5">
        <v>1261.69</v>
      </c>
      <c r="S155" s="5">
        <v>14320.18</v>
      </c>
      <c r="T155" s="6">
        <v>1.9099999999999999E-2</v>
      </c>
      <c r="U155" s="5">
        <v>14046.66</v>
      </c>
      <c r="V155" s="5">
        <v>284.07</v>
      </c>
      <c r="W155" s="6">
        <v>0.1356</v>
      </c>
      <c r="X155" s="5">
        <v>1904.73</v>
      </c>
      <c r="Y155" s="2" t="s">
        <v>33</v>
      </c>
      <c r="Z155" s="2" t="s">
        <v>70</v>
      </c>
      <c r="AA155" s="2" t="s">
        <v>35</v>
      </c>
    </row>
    <row r="156" spans="1:27">
      <c r="A156" s="2" t="s">
        <v>281</v>
      </c>
      <c r="B156" s="3">
        <v>45377</v>
      </c>
      <c r="C156" s="2">
        <v>2024</v>
      </c>
      <c r="D156" s="2" t="s">
        <v>59</v>
      </c>
      <c r="E156" s="2" t="s">
        <v>60</v>
      </c>
      <c r="F156" s="2" t="s">
        <v>61</v>
      </c>
      <c r="G156" s="2" t="s">
        <v>114</v>
      </c>
      <c r="H156" s="2" t="s">
        <v>31</v>
      </c>
      <c r="I156" s="2" t="s">
        <v>88</v>
      </c>
      <c r="J156" s="2" t="s">
        <v>65</v>
      </c>
      <c r="K156" s="2" t="s">
        <v>54</v>
      </c>
      <c r="L156" s="2" t="s">
        <v>54</v>
      </c>
      <c r="M156" s="2" t="s">
        <v>94</v>
      </c>
      <c r="N156" s="2">
        <v>39.01</v>
      </c>
      <c r="O156" s="2">
        <v>1565</v>
      </c>
      <c r="P156" s="2">
        <v>10.5</v>
      </c>
      <c r="Q156" s="4">
        <v>133.37</v>
      </c>
      <c r="R156" s="5">
        <v>1264.3399999999999</v>
      </c>
      <c r="S156" s="5">
        <v>168625.03</v>
      </c>
      <c r="T156" s="6">
        <v>2.5399999999999999E-2</v>
      </c>
      <c r="U156" s="5">
        <v>164341.95000000001</v>
      </c>
      <c r="V156" s="5">
        <v>10540.43</v>
      </c>
      <c r="W156" s="6">
        <v>0.17019999999999999</v>
      </c>
      <c r="X156" s="5">
        <v>27971</v>
      </c>
      <c r="Y156" s="2" t="s">
        <v>69</v>
      </c>
      <c r="Z156" s="2" t="s">
        <v>106</v>
      </c>
      <c r="AA156" s="2" t="s">
        <v>35</v>
      </c>
    </row>
    <row r="157" spans="1:27">
      <c r="A157" s="2" t="s">
        <v>282</v>
      </c>
      <c r="B157" s="3">
        <v>45539</v>
      </c>
      <c r="C157" s="2">
        <v>2024</v>
      </c>
      <c r="D157" s="2" t="s">
        <v>37</v>
      </c>
      <c r="E157" s="2" t="s">
        <v>28</v>
      </c>
      <c r="F157" s="2" t="s">
        <v>118</v>
      </c>
      <c r="G157" s="2" t="s">
        <v>121</v>
      </c>
      <c r="H157" s="2" t="s">
        <v>63</v>
      </c>
      <c r="I157" s="2" t="s">
        <v>32</v>
      </c>
      <c r="J157" s="2" t="s">
        <v>42</v>
      </c>
      <c r="K157" s="2" t="s">
        <v>43</v>
      </c>
      <c r="L157" s="2" t="s">
        <v>44</v>
      </c>
      <c r="M157" s="2" t="s">
        <v>45</v>
      </c>
      <c r="N157" s="2">
        <v>26.27</v>
      </c>
      <c r="O157" s="2">
        <v>21</v>
      </c>
      <c r="P157" s="2">
        <v>9.6</v>
      </c>
      <c r="Q157" s="4">
        <v>566.33000000000004</v>
      </c>
      <c r="R157" s="5">
        <v>693.08</v>
      </c>
      <c r="S157" s="5">
        <v>392512</v>
      </c>
      <c r="T157" s="6">
        <v>4.8800000000000003E-2</v>
      </c>
      <c r="U157" s="5">
        <v>373357.41</v>
      </c>
      <c r="V157" s="5">
        <v>12744.18</v>
      </c>
      <c r="W157" s="6">
        <v>0.1918</v>
      </c>
      <c r="X157" s="5">
        <v>71609.95</v>
      </c>
      <c r="Y157" s="2" t="s">
        <v>33</v>
      </c>
      <c r="Z157" s="2" t="s">
        <v>125</v>
      </c>
      <c r="AA157" s="2" t="s">
        <v>35</v>
      </c>
    </row>
    <row r="158" spans="1:27">
      <c r="A158" s="2" t="s">
        <v>283</v>
      </c>
      <c r="B158" s="3">
        <v>45360</v>
      </c>
      <c r="C158" s="2">
        <v>2024</v>
      </c>
      <c r="D158" s="2" t="s">
        <v>59</v>
      </c>
      <c r="E158" s="2" t="s">
        <v>60</v>
      </c>
      <c r="F158" s="2" t="s">
        <v>118</v>
      </c>
      <c r="G158" s="2" t="s">
        <v>155</v>
      </c>
      <c r="H158" s="2" t="s">
        <v>31</v>
      </c>
      <c r="I158" s="2" t="s">
        <v>88</v>
      </c>
      <c r="J158" s="2" t="s">
        <v>127</v>
      </c>
      <c r="K158" s="2" t="s">
        <v>54</v>
      </c>
      <c r="L158" s="2" t="s">
        <v>54</v>
      </c>
      <c r="M158" s="2" t="s">
        <v>55</v>
      </c>
      <c r="N158" s="2">
        <v>37.89</v>
      </c>
      <c r="O158" s="2">
        <v>2224</v>
      </c>
      <c r="P158" s="2">
        <v>7</v>
      </c>
      <c r="Q158" s="4">
        <v>69.150000000000006</v>
      </c>
      <c r="R158" s="5">
        <v>1056.4100000000001</v>
      </c>
      <c r="S158" s="5">
        <v>73050.75</v>
      </c>
      <c r="T158" s="6">
        <v>5.0799999999999998E-2</v>
      </c>
      <c r="U158" s="5">
        <v>69339.77</v>
      </c>
      <c r="V158" s="5">
        <v>4990.38</v>
      </c>
      <c r="W158" s="6">
        <v>0.16739999999999999</v>
      </c>
      <c r="X158" s="5">
        <v>11607.48</v>
      </c>
      <c r="Y158" s="2" t="s">
        <v>56</v>
      </c>
      <c r="Z158" s="2" t="s">
        <v>46</v>
      </c>
      <c r="AA158" s="2" t="s">
        <v>35</v>
      </c>
    </row>
    <row r="159" spans="1:27">
      <c r="A159" s="2" t="s">
        <v>284</v>
      </c>
      <c r="B159" s="3">
        <v>45903</v>
      </c>
      <c r="C159" s="2">
        <v>2025</v>
      </c>
      <c r="D159" s="2" t="s">
        <v>37</v>
      </c>
      <c r="E159" s="2" t="s">
        <v>28</v>
      </c>
      <c r="F159" s="2" t="s">
        <v>61</v>
      </c>
      <c r="G159" s="2" t="s">
        <v>132</v>
      </c>
      <c r="H159" s="2" t="s">
        <v>40</v>
      </c>
      <c r="I159" s="2" t="s">
        <v>64</v>
      </c>
      <c r="J159" s="2" t="s">
        <v>79</v>
      </c>
      <c r="K159" s="2" t="s">
        <v>43</v>
      </c>
      <c r="L159" s="2" t="s">
        <v>44</v>
      </c>
      <c r="M159" s="2" t="s">
        <v>45</v>
      </c>
      <c r="N159" s="2">
        <v>34.74</v>
      </c>
      <c r="O159" s="2">
        <v>31</v>
      </c>
      <c r="P159" s="2">
        <v>3.6</v>
      </c>
      <c r="Q159" s="4">
        <v>140.19</v>
      </c>
      <c r="R159" s="5">
        <v>733.08</v>
      </c>
      <c r="S159" s="5">
        <v>102770.49</v>
      </c>
      <c r="T159" s="6">
        <v>2.1700000000000001E-2</v>
      </c>
      <c r="U159" s="5">
        <v>100540.37</v>
      </c>
      <c r="V159" s="5">
        <v>8965.7000000000007</v>
      </c>
      <c r="W159" s="6">
        <v>0.25490000000000002</v>
      </c>
      <c r="X159" s="5">
        <v>25627.74</v>
      </c>
      <c r="Y159" s="2" t="s">
        <v>33</v>
      </c>
      <c r="Z159" s="2" t="s">
        <v>46</v>
      </c>
      <c r="AA159" s="2" t="s">
        <v>35</v>
      </c>
    </row>
    <row r="160" spans="1:27">
      <c r="A160" s="2" t="s">
        <v>285</v>
      </c>
      <c r="B160" s="3">
        <v>45545</v>
      </c>
      <c r="C160" s="2">
        <v>2024</v>
      </c>
      <c r="D160" s="2" t="s">
        <v>37</v>
      </c>
      <c r="E160" s="2" t="s">
        <v>28</v>
      </c>
      <c r="F160" s="2" t="s">
        <v>98</v>
      </c>
      <c r="G160" s="2" t="s">
        <v>135</v>
      </c>
      <c r="H160" s="2" t="s">
        <v>63</v>
      </c>
      <c r="I160" s="2" t="s">
        <v>32</v>
      </c>
      <c r="J160" s="2" t="s">
        <v>79</v>
      </c>
      <c r="K160" s="2" t="s">
        <v>43</v>
      </c>
      <c r="L160" s="2" t="s">
        <v>44</v>
      </c>
      <c r="M160" s="2" t="s">
        <v>85</v>
      </c>
      <c r="N160" s="2">
        <v>32.03</v>
      </c>
      <c r="O160" s="2">
        <v>13</v>
      </c>
      <c r="P160" s="2">
        <v>9.3000000000000007</v>
      </c>
      <c r="Q160" s="4">
        <v>58.82</v>
      </c>
      <c r="R160" s="5">
        <v>749.35</v>
      </c>
      <c r="S160" s="5">
        <v>44076.77</v>
      </c>
      <c r="T160" s="6">
        <v>1.54E-2</v>
      </c>
      <c r="U160" s="5">
        <v>43397.99</v>
      </c>
      <c r="V160" s="5">
        <v>1757.73</v>
      </c>
      <c r="W160" s="6">
        <v>0.1454</v>
      </c>
      <c r="X160" s="5">
        <v>6310.07</v>
      </c>
      <c r="Y160" s="2" t="s">
        <v>75</v>
      </c>
      <c r="Z160" s="2" t="s">
        <v>46</v>
      </c>
      <c r="AA160" s="2" t="s">
        <v>35</v>
      </c>
    </row>
    <row r="161" spans="1:27">
      <c r="A161" s="2" t="s">
        <v>286</v>
      </c>
      <c r="B161" s="3">
        <v>45504</v>
      </c>
      <c r="C161" s="2">
        <v>2024</v>
      </c>
      <c r="D161" s="2" t="s">
        <v>104</v>
      </c>
      <c r="E161" s="2" t="s">
        <v>28</v>
      </c>
      <c r="F161" s="2" t="s">
        <v>118</v>
      </c>
      <c r="G161" s="2" t="s">
        <v>155</v>
      </c>
      <c r="H161" s="2" t="s">
        <v>73</v>
      </c>
      <c r="I161" s="2" t="s">
        <v>116</v>
      </c>
      <c r="J161" s="2" t="s">
        <v>53</v>
      </c>
      <c r="K161" s="2" t="s">
        <v>54</v>
      </c>
      <c r="L161" s="2" t="s">
        <v>54</v>
      </c>
      <c r="M161" s="2" t="s">
        <v>158</v>
      </c>
      <c r="N161" s="2">
        <v>50.57</v>
      </c>
      <c r="O161" s="2">
        <v>1951</v>
      </c>
      <c r="P161" s="2">
        <v>9.9</v>
      </c>
      <c r="Q161" s="4">
        <v>87.52</v>
      </c>
      <c r="R161" s="5">
        <v>1070.21</v>
      </c>
      <c r="S161" s="5">
        <v>93664.78</v>
      </c>
      <c r="T161" s="6">
        <v>3.4799999999999998E-2</v>
      </c>
      <c r="U161" s="5">
        <v>90405.25</v>
      </c>
      <c r="V161" s="5">
        <v>1647.14</v>
      </c>
      <c r="W161" s="6">
        <v>0.26850000000000002</v>
      </c>
      <c r="X161" s="5">
        <v>24273.81</v>
      </c>
      <c r="Y161" s="2" t="s">
        <v>56</v>
      </c>
      <c r="Z161" s="2" t="s">
        <v>125</v>
      </c>
      <c r="AA161" s="2" t="s">
        <v>35</v>
      </c>
    </row>
    <row r="162" spans="1:27">
      <c r="A162" s="2" t="s">
        <v>287</v>
      </c>
      <c r="B162" s="3">
        <v>45481</v>
      </c>
      <c r="C162" s="2">
        <v>2024</v>
      </c>
      <c r="D162" s="2" t="s">
        <v>104</v>
      </c>
      <c r="E162" s="2" t="s">
        <v>28</v>
      </c>
      <c r="F162" s="2" t="s">
        <v>29</v>
      </c>
      <c r="G162" s="2" t="s">
        <v>78</v>
      </c>
      <c r="H162" s="2" t="s">
        <v>73</v>
      </c>
      <c r="I162" s="2" t="s">
        <v>52</v>
      </c>
      <c r="J162" s="2" t="s">
        <v>42</v>
      </c>
      <c r="K162" s="2" t="s">
        <v>100</v>
      </c>
      <c r="L162" s="2" t="s">
        <v>101</v>
      </c>
      <c r="M162" s="2" t="s">
        <v>108</v>
      </c>
      <c r="N162" s="2">
        <v>9.0299999999999994</v>
      </c>
      <c r="O162" s="2">
        <v>596</v>
      </c>
      <c r="P162" s="2">
        <v>3.9</v>
      </c>
      <c r="Q162" s="4">
        <v>10.45</v>
      </c>
      <c r="R162" s="5">
        <v>1251.42</v>
      </c>
      <c r="S162" s="5">
        <v>13077.34</v>
      </c>
      <c r="T162" s="6">
        <v>2.52E-2</v>
      </c>
      <c r="U162" s="5">
        <v>12747.79</v>
      </c>
      <c r="V162" s="5">
        <v>362.29</v>
      </c>
      <c r="W162" s="6">
        <v>0.18790000000000001</v>
      </c>
      <c r="X162" s="5">
        <v>2395.31</v>
      </c>
      <c r="Y162" s="2" t="s">
        <v>33</v>
      </c>
      <c r="Z162" s="2" t="s">
        <v>106</v>
      </c>
      <c r="AA162" s="2" t="s">
        <v>35</v>
      </c>
    </row>
    <row r="163" spans="1:27">
      <c r="A163" s="2" t="s">
        <v>288</v>
      </c>
      <c r="B163" s="3">
        <v>46012</v>
      </c>
      <c r="C163" s="2">
        <v>2025</v>
      </c>
      <c r="D163" s="2" t="s">
        <v>97</v>
      </c>
      <c r="E163" s="2" t="s">
        <v>77</v>
      </c>
      <c r="F163" s="2" t="s">
        <v>38</v>
      </c>
      <c r="G163" s="2" t="s">
        <v>82</v>
      </c>
      <c r="H163" s="2" t="s">
        <v>31</v>
      </c>
      <c r="I163" s="2" t="s">
        <v>32</v>
      </c>
      <c r="J163" s="2" t="s">
        <v>79</v>
      </c>
      <c r="K163" s="2" t="s">
        <v>100</v>
      </c>
      <c r="L163" s="2" t="s">
        <v>101</v>
      </c>
      <c r="M163" s="2" t="s">
        <v>108</v>
      </c>
      <c r="N163" s="2">
        <v>15.44</v>
      </c>
      <c r="O163" s="2">
        <v>552</v>
      </c>
      <c r="P163" s="2">
        <v>3.6</v>
      </c>
      <c r="Q163" s="4">
        <v>86.44</v>
      </c>
      <c r="R163" s="5">
        <v>1190.0999999999999</v>
      </c>
      <c r="S163" s="5">
        <v>102872.24</v>
      </c>
      <c r="T163" s="6">
        <v>5.8500000000000003E-2</v>
      </c>
      <c r="U163" s="5">
        <v>96854.21</v>
      </c>
      <c r="V163" s="5">
        <v>6376.99</v>
      </c>
      <c r="W163" s="6">
        <v>0.1061</v>
      </c>
      <c r="X163" s="5">
        <v>10276.23</v>
      </c>
      <c r="Y163" s="2" t="s">
        <v>56</v>
      </c>
      <c r="Z163" s="2" t="s">
        <v>89</v>
      </c>
      <c r="AA163" s="2" t="s">
        <v>35</v>
      </c>
    </row>
    <row r="164" spans="1:27">
      <c r="A164" s="2" t="s">
        <v>289</v>
      </c>
      <c r="B164" s="3">
        <v>45322</v>
      </c>
      <c r="C164" s="2">
        <v>2024</v>
      </c>
      <c r="D164" s="2" t="s">
        <v>71</v>
      </c>
      <c r="E164" s="2" t="s">
        <v>60</v>
      </c>
      <c r="F164" s="2" t="s">
        <v>118</v>
      </c>
      <c r="G164" s="2" t="s">
        <v>119</v>
      </c>
      <c r="H164" s="2" t="s">
        <v>40</v>
      </c>
      <c r="I164" s="2" t="s">
        <v>64</v>
      </c>
      <c r="J164" s="2" t="s">
        <v>127</v>
      </c>
      <c r="K164" s="2" t="s">
        <v>54</v>
      </c>
      <c r="L164" s="2" t="s">
        <v>54</v>
      </c>
      <c r="M164" s="2" t="s">
        <v>55</v>
      </c>
      <c r="N164" s="2">
        <v>9.34</v>
      </c>
      <c r="O164" s="2">
        <v>2755</v>
      </c>
      <c r="P164" s="2">
        <v>6.4</v>
      </c>
      <c r="Q164" s="4">
        <v>52.89</v>
      </c>
      <c r="R164" s="5">
        <v>1001.57</v>
      </c>
      <c r="S164" s="5">
        <v>52973.04</v>
      </c>
      <c r="T164" s="6">
        <v>5.8500000000000003E-2</v>
      </c>
      <c r="U164" s="5">
        <v>49874.12</v>
      </c>
      <c r="V164" s="5">
        <v>3768.55</v>
      </c>
      <c r="W164" s="6">
        <v>0.1419</v>
      </c>
      <c r="X164" s="5">
        <v>7077.14</v>
      </c>
      <c r="Y164" s="2" t="s">
        <v>83</v>
      </c>
      <c r="Z164" s="2" t="s">
        <v>34</v>
      </c>
      <c r="AA164" s="2" t="s">
        <v>35</v>
      </c>
    </row>
    <row r="165" spans="1:27">
      <c r="A165" s="2" t="s">
        <v>290</v>
      </c>
      <c r="B165" s="3">
        <v>45974</v>
      </c>
      <c r="C165" s="2">
        <v>2025</v>
      </c>
      <c r="D165" s="2" t="s">
        <v>76</v>
      </c>
      <c r="E165" s="2" t="s">
        <v>77</v>
      </c>
      <c r="F165" s="2" t="s">
        <v>118</v>
      </c>
      <c r="G165" s="2" t="s">
        <v>121</v>
      </c>
      <c r="H165" s="2" t="s">
        <v>73</v>
      </c>
      <c r="I165" s="2" t="s">
        <v>64</v>
      </c>
      <c r="J165" s="2" t="s">
        <v>42</v>
      </c>
      <c r="K165" s="2" t="s">
        <v>43</v>
      </c>
      <c r="L165" s="2" t="s">
        <v>44</v>
      </c>
      <c r="M165" s="2" t="s">
        <v>45</v>
      </c>
      <c r="N165" s="2">
        <v>30.48</v>
      </c>
      <c r="O165" s="2">
        <v>15</v>
      </c>
      <c r="P165" s="2">
        <v>3.6</v>
      </c>
      <c r="Q165" s="4">
        <v>342.53</v>
      </c>
      <c r="R165" s="5">
        <v>727.57</v>
      </c>
      <c r="S165" s="5">
        <v>249214.55</v>
      </c>
      <c r="T165" s="6">
        <v>3.2099999999999997E-2</v>
      </c>
      <c r="U165" s="5">
        <v>241214.76</v>
      </c>
      <c r="V165" s="5">
        <v>6422.31</v>
      </c>
      <c r="W165" s="6">
        <v>0.1457</v>
      </c>
      <c r="X165" s="5">
        <v>35144.99</v>
      </c>
      <c r="Y165" s="2" t="s">
        <v>33</v>
      </c>
      <c r="Z165" s="2" t="s">
        <v>57</v>
      </c>
      <c r="AA165" s="2" t="s">
        <v>35</v>
      </c>
    </row>
    <row r="166" spans="1:27">
      <c r="A166" s="2" t="s">
        <v>291</v>
      </c>
      <c r="B166" s="3">
        <v>45663</v>
      </c>
      <c r="C166" s="2">
        <v>2025</v>
      </c>
      <c r="D166" s="2" t="s">
        <v>71</v>
      </c>
      <c r="E166" s="2" t="s">
        <v>60</v>
      </c>
      <c r="F166" s="2" t="s">
        <v>61</v>
      </c>
      <c r="G166" s="2" t="s">
        <v>132</v>
      </c>
      <c r="H166" s="2" t="s">
        <v>63</v>
      </c>
      <c r="I166" s="2" t="s">
        <v>52</v>
      </c>
      <c r="J166" s="2" t="s">
        <v>53</v>
      </c>
      <c r="K166" s="2" t="s">
        <v>54</v>
      </c>
      <c r="L166" s="2" t="s">
        <v>54</v>
      </c>
      <c r="M166" s="2" t="s">
        <v>158</v>
      </c>
      <c r="N166" s="2">
        <v>74.790000000000006</v>
      </c>
      <c r="O166" s="2">
        <v>1377</v>
      </c>
      <c r="P166" s="2">
        <v>6.6</v>
      </c>
      <c r="Q166" s="4">
        <v>69.08</v>
      </c>
      <c r="R166" s="5">
        <v>1178.78</v>
      </c>
      <c r="S166" s="5">
        <v>81430.12</v>
      </c>
      <c r="T166" s="6">
        <v>3.2099999999999997E-2</v>
      </c>
      <c r="U166" s="5">
        <v>78816.210000000006</v>
      </c>
      <c r="V166" s="5">
        <v>2860.05</v>
      </c>
      <c r="W166" s="6">
        <v>0.21729999999999999</v>
      </c>
      <c r="X166" s="5">
        <v>17126.759999999998</v>
      </c>
      <c r="Y166" s="2" t="s">
        <v>75</v>
      </c>
      <c r="Z166" s="2" t="s">
        <v>125</v>
      </c>
      <c r="AA166" s="2" t="s">
        <v>35</v>
      </c>
    </row>
    <row r="167" spans="1:27">
      <c r="A167" s="2" t="s">
        <v>292</v>
      </c>
      <c r="B167" s="3">
        <v>45922</v>
      </c>
      <c r="C167" s="2">
        <v>2025</v>
      </c>
      <c r="D167" s="2" t="s">
        <v>37</v>
      </c>
      <c r="E167" s="2" t="s">
        <v>28</v>
      </c>
      <c r="F167" s="2" t="s">
        <v>61</v>
      </c>
      <c r="G167" s="2" t="s">
        <v>114</v>
      </c>
      <c r="H167" s="2" t="s">
        <v>31</v>
      </c>
      <c r="I167" s="2" t="s">
        <v>88</v>
      </c>
      <c r="J167" s="2" t="s">
        <v>42</v>
      </c>
      <c r="K167" s="2" t="s">
        <v>43</v>
      </c>
      <c r="L167" s="2" t="s">
        <v>44</v>
      </c>
      <c r="M167" s="2" t="s">
        <v>85</v>
      </c>
      <c r="N167" s="2">
        <v>24.08</v>
      </c>
      <c r="O167" s="2">
        <v>13</v>
      </c>
      <c r="P167" s="2">
        <v>9.1</v>
      </c>
      <c r="Q167" s="4">
        <v>376.21</v>
      </c>
      <c r="R167" s="5">
        <v>735.73</v>
      </c>
      <c r="S167" s="5">
        <v>276788.98</v>
      </c>
      <c r="T167" s="6">
        <v>6.1199999999999997E-2</v>
      </c>
      <c r="U167" s="5">
        <v>259849.49</v>
      </c>
      <c r="V167" s="5">
        <v>33080.22</v>
      </c>
      <c r="W167" s="6">
        <v>0.14099999999999999</v>
      </c>
      <c r="X167" s="5">
        <v>36638.78</v>
      </c>
      <c r="Y167" s="2" t="s">
        <v>69</v>
      </c>
      <c r="Z167" s="2" t="s">
        <v>80</v>
      </c>
      <c r="AA167" s="2" t="s">
        <v>35</v>
      </c>
    </row>
    <row r="168" spans="1:27">
      <c r="A168" s="2" t="s">
        <v>293</v>
      </c>
      <c r="B168" s="3">
        <v>45763</v>
      </c>
      <c r="C168" s="2">
        <v>2025</v>
      </c>
      <c r="D168" s="2" t="s">
        <v>48</v>
      </c>
      <c r="E168" s="2" t="s">
        <v>49</v>
      </c>
      <c r="F168" s="2" t="s">
        <v>118</v>
      </c>
      <c r="G168" s="2" t="s">
        <v>155</v>
      </c>
      <c r="H168" s="2" t="s">
        <v>31</v>
      </c>
      <c r="I168" s="2" t="s">
        <v>52</v>
      </c>
      <c r="J168" s="2" t="s">
        <v>42</v>
      </c>
      <c r="K168" s="2" t="s">
        <v>100</v>
      </c>
      <c r="L168" s="2" t="s">
        <v>101</v>
      </c>
      <c r="M168" s="2" t="s">
        <v>108</v>
      </c>
      <c r="N168" s="2">
        <v>5.4</v>
      </c>
      <c r="O168" s="2">
        <v>224</v>
      </c>
      <c r="P168" s="2">
        <v>11.8</v>
      </c>
      <c r="Q168" s="4">
        <v>82.35</v>
      </c>
      <c r="R168" s="5">
        <v>1215.01</v>
      </c>
      <c r="S168" s="5">
        <v>100056.07</v>
      </c>
      <c r="T168" s="6">
        <v>4.4699999999999997E-2</v>
      </c>
      <c r="U168" s="5">
        <v>95583.56</v>
      </c>
      <c r="V168" s="5">
        <v>4866.33</v>
      </c>
      <c r="W168" s="6">
        <v>0.127</v>
      </c>
      <c r="X168" s="5">
        <v>12139.11</v>
      </c>
      <c r="Y168" s="2" t="s">
        <v>69</v>
      </c>
      <c r="Z168" s="2" t="s">
        <v>57</v>
      </c>
      <c r="AA168" s="2" t="s">
        <v>35</v>
      </c>
    </row>
    <row r="169" spans="1:27">
      <c r="A169" s="2" t="s">
        <v>294</v>
      </c>
      <c r="B169" s="3">
        <v>45865</v>
      </c>
      <c r="C169" s="2">
        <v>2025</v>
      </c>
      <c r="D169" s="2" t="s">
        <v>104</v>
      </c>
      <c r="E169" s="2" t="s">
        <v>28</v>
      </c>
      <c r="F169" s="2" t="s">
        <v>38</v>
      </c>
      <c r="G169" s="2" t="s">
        <v>39</v>
      </c>
      <c r="H169" s="2" t="s">
        <v>73</v>
      </c>
      <c r="I169" s="2" t="s">
        <v>93</v>
      </c>
      <c r="J169" s="2" t="s">
        <v>127</v>
      </c>
      <c r="K169" s="2" t="s">
        <v>54</v>
      </c>
      <c r="L169" s="2" t="s">
        <v>54</v>
      </c>
      <c r="M169" s="2" t="s">
        <v>162</v>
      </c>
      <c r="N169" s="2">
        <v>28.39</v>
      </c>
      <c r="O169" s="2">
        <v>3113</v>
      </c>
      <c r="P169" s="2">
        <v>9.8000000000000007</v>
      </c>
      <c r="Q169" s="4">
        <v>87.6</v>
      </c>
      <c r="R169" s="5">
        <v>1020.23</v>
      </c>
      <c r="S169" s="5">
        <v>89372.15</v>
      </c>
      <c r="T169" s="6">
        <v>5.6399999999999999E-2</v>
      </c>
      <c r="U169" s="5">
        <v>84331.56</v>
      </c>
      <c r="V169" s="5">
        <v>1890.3</v>
      </c>
      <c r="W169" s="6">
        <v>0.14280000000000001</v>
      </c>
      <c r="X169" s="5">
        <v>12042.55</v>
      </c>
      <c r="Y169" s="2" t="s">
        <v>83</v>
      </c>
      <c r="Z169" s="2" t="s">
        <v>34</v>
      </c>
      <c r="AA169" s="2" t="s">
        <v>35</v>
      </c>
    </row>
    <row r="170" spans="1:27">
      <c r="A170" s="2" t="s">
        <v>295</v>
      </c>
      <c r="B170" s="3">
        <v>45781</v>
      </c>
      <c r="C170" s="2">
        <v>2025</v>
      </c>
      <c r="D170" s="2" t="s">
        <v>81</v>
      </c>
      <c r="E170" s="2" t="s">
        <v>49</v>
      </c>
      <c r="F170" s="2" t="s">
        <v>98</v>
      </c>
      <c r="G170" s="2" t="s">
        <v>99</v>
      </c>
      <c r="H170" s="2" t="s">
        <v>40</v>
      </c>
      <c r="I170" s="2" t="s">
        <v>88</v>
      </c>
      <c r="J170" s="2" t="s">
        <v>42</v>
      </c>
      <c r="K170" s="2" t="s">
        <v>43</v>
      </c>
      <c r="L170" s="2" t="s">
        <v>44</v>
      </c>
      <c r="M170" s="2" t="s">
        <v>171</v>
      </c>
      <c r="N170" s="2">
        <v>28.68</v>
      </c>
      <c r="O170" s="2">
        <v>36</v>
      </c>
      <c r="P170" s="2">
        <v>9.9</v>
      </c>
      <c r="Q170" s="4">
        <v>435.24</v>
      </c>
      <c r="R170" s="5">
        <v>705.46</v>
      </c>
      <c r="S170" s="5">
        <v>307044.40999999997</v>
      </c>
      <c r="T170" s="6">
        <v>5.7700000000000001E-2</v>
      </c>
      <c r="U170" s="5">
        <v>289327.95</v>
      </c>
      <c r="V170" s="5">
        <v>30932.58</v>
      </c>
      <c r="W170" s="6">
        <v>0.1797</v>
      </c>
      <c r="X170" s="5">
        <v>51992.23</v>
      </c>
      <c r="Y170" s="2" t="s">
        <v>69</v>
      </c>
      <c r="Z170" s="2" t="s">
        <v>46</v>
      </c>
      <c r="AA170" s="2" t="s">
        <v>35</v>
      </c>
    </row>
    <row r="171" spans="1:27">
      <c r="A171" s="2" t="s">
        <v>296</v>
      </c>
      <c r="B171" s="3">
        <v>45672</v>
      </c>
      <c r="C171" s="2">
        <v>2025</v>
      </c>
      <c r="D171" s="2" t="s">
        <v>71</v>
      </c>
      <c r="E171" s="2" t="s">
        <v>60</v>
      </c>
      <c r="F171" s="2" t="s">
        <v>50</v>
      </c>
      <c r="G171" s="2" t="s">
        <v>51</v>
      </c>
      <c r="H171" s="2" t="s">
        <v>40</v>
      </c>
      <c r="I171" s="2" t="s">
        <v>64</v>
      </c>
      <c r="J171" s="2" t="s">
        <v>79</v>
      </c>
      <c r="K171" s="2" t="s">
        <v>43</v>
      </c>
      <c r="L171" s="2" t="s">
        <v>44</v>
      </c>
      <c r="M171" s="2" t="s">
        <v>171</v>
      </c>
      <c r="N171" s="2">
        <v>27.07</v>
      </c>
      <c r="O171" s="2">
        <v>12</v>
      </c>
      <c r="P171" s="2">
        <v>4.5999999999999996</v>
      </c>
      <c r="Q171" s="4">
        <v>715.41</v>
      </c>
      <c r="R171" s="5">
        <v>711.7</v>
      </c>
      <c r="S171" s="5">
        <v>509157.3</v>
      </c>
      <c r="T171" s="6">
        <v>4.7800000000000002E-2</v>
      </c>
      <c r="U171" s="5">
        <v>484819.58</v>
      </c>
      <c r="V171" s="5">
        <v>60429.95</v>
      </c>
      <c r="W171" s="6">
        <v>0.1399</v>
      </c>
      <c r="X171" s="5">
        <v>67826.259999999995</v>
      </c>
      <c r="Y171" s="2" t="s">
        <v>75</v>
      </c>
      <c r="Z171" s="2" t="s">
        <v>57</v>
      </c>
      <c r="AA171" s="2" t="s">
        <v>35</v>
      </c>
    </row>
    <row r="172" spans="1:27">
      <c r="A172" s="2" t="s">
        <v>297</v>
      </c>
      <c r="B172" s="3">
        <v>45630</v>
      </c>
      <c r="C172" s="2">
        <v>2024</v>
      </c>
      <c r="D172" s="2" t="s">
        <v>97</v>
      </c>
      <c r="E172" s="2" t="s">
        <v>77</v>
      </c>
      <c r="F172" s="2" t="s">
        <v>29</v>
      </c>
      <c r="G172" s="2" t="s">
        <v>30</v>
      </c>
      <c r="H172" s="2" t="s">
        <v>63</v>
      </c>
      <c r="I172" s="2" t="s">
        <v>74</v>
      </c>
      <c r="J172" s="2" t="s">
        <v>127</v>
      </c>
      <c r="K172" s="2" t="s">
        <v>54</v>
      </c>
      <c r="L172" s="2" t="s">
        <v>54</v>
      </c>
      <c r="M172" s="2" t="s">
        <v>55</v>
      </c>
      <c r="N172" s="2">
        <v>26.41</v>
      </c>
      <c r="O172" s="2">
        <v>1738</v>
      </c>
      <c r="P172" s="2">
        <v>7.7</v>
      </c>
      <c r="Q172" s="4">
        <v>14.32</v>
      </c>
      <c r="R172" s="5">
        <v>1141.5999999999999</v>
      </c>
      <c r="S172" s="5">
        <v>16347.71</v>
      </c>
      <c r="T172" s="6">
        <v>3.56E-2</v>
      </c>
      <c r="U172" s="5">
        <v>15765.73</v>
      </c>
      <c r="V172" s="5">
        <v>303.36</v>
      </c>
      <c r="W172" s="6">
        <v>0.13639999999999999</v>
      </c>
      <c r="X172" s="5">
        <v>2150.4499999999998</v>
      </c>
      <c r="Y172" s="2" t="s">
        <v>83</v>
      </c>
      <c r="Z172" s="2" t="s">
        <v>80</v>
      </c>
      <c r="AA172" s="2" t="s">
        <v>35</v>
      </c>
    </row>
    <row r="173" spans="1:27">
      <c r="A173" s="2" t="s">
        <v>298</v>
      </c>
      <c r="B173" s="3">
        <v>46013</v>
      </c>
      <c r="C173" s="2">
        <v>2025</v>
      </c>
      <c r="D173" s="2" t="s">
        <v>97</v>
      </c>
      <c r="E173" s="2" t="s">
        <v>77</v>
      </c>
      <c r="F173" s="2" t="s">
        <v>50</v>
      </c>
      <c r="G173" s="2" t="s">
        <v>115</v>
      </c>
      <c r="H173" s="2" t="s">
        <v>63</v>
      </c>
      <c r="I173" s="2" t="s">
        <v>88</v>
      </c>
      <c r="J173" s="2" t="s">
        <v>79</v>
      </c>
      <c r="K173" s="2" t="s">
        <v>100</v>
      </c>
      <c r="L173" s="2" t="s">
        <v>101</v>
      </c>
      <c r="M173" s="2" t="s">
        <v>102</v>
      </c>
      <c r="N173" s="2">
        <v>6.52</v>
      </c>
      <c r="O173" s="2">
        <v>273</v>
      </c>
      <c r="P173" s="2">
        <v>11.6</v>
      </c>
      <c r="Q173" s="4">
        <v>197.04</v>
      </c>
      <c r="R173" s="5">
        <v>1194.5899999999999</v>
      </c>
      <c r="S173" s="5">
        <v>235382.01</v>
      </c>
      <c r="T173" s="6">
        <v>2.23E-2</v>
      </c>
      <c r="U173" s="5">
        <v>230132.99</v>
      </c>
      <c r="V173" s="5">
        <v>6207.49</v>
      </c>
      <c r="W173" s="6">
        <v>0.22650000000000001</v>
      </c>
      <c r="X173" s="5">
        <v>52125.120000000003</v>
      </c>
      <c r="Y173" s="2" t="s">
        <v>75</v>
      </c>
      <c r="Z173" s="2" t="s">
        <v>89</v>
      </c>
      <c r="AA173" s="2" t="s">
        <v>35</v>
      </c>
    </row>
    <row r="174" spans="1:27">
      <c r="A174" s="2" t="s">
        <v>299</v>
      </c>
      <c r="B174" s="3">
        <v>45831</v>
      </c>
      <c r="C174" s="2">
        <v>2025</v>
      </c>
      <c r="D174" s="2" t="s">
        <v>91</v>
      </c>
      <c r="E174" s="2" t="s">
        <v>49</v>
      </c>
      <c r="F174" s="2" t="s">
        <v>61</v>
      </c>
      <c r="G174" s="2" t="s">
        <v>114</v>
      </c>
      <c r="H174" s="2" t="s">
        <v>73</v>
      </c>
      <c r="I174" s="2" t="s">
        <v>52</v>
      </c>
      <c r="J174" s="2" t="s">
        <v>65</v>
      </c>
      <c r="K174" s="2" t="s">
        <v>100</v>
      </c>
      <c r="L174" s="2" t="s">
        <v>101</v>
      </c>
      <c r="M174" s="2" t="s">
        <v>102</v>
      </c>
      <c r="N174" s="2">
        <v>11.1</v>
      </c>
      <c r="O174" s="2">
        <v>358</v>
      </c>
      <c r="P174" s="2">
        <v>9.5</v>
      </c>
      <c r="Q174" s="4">
        <v>72.19</v>
      </c>
      <c r="R174" s="5">
        <v>1378.31</v>
      </c>
      <c r="S174" s="5">
        <v>99500.2</v>
      </c>
      <c r="T174" s="6">
        <v>5.3600000000000002E-2</v>
      </c>
      <c r="U174" s="5">
        <v>94166.99</v>
      </c>
      <c r="V174" s="5">
        <v>1323.34</v>
      </c>
      <c r="W174" s="6">
        <v>0.254</v>
      </c>
      <c r="X174" s="5">
        <v>23918.42</v>
      </c>
      <c r="Y174" s="2" t="s">
        <v>83</v>
      </c>
      <c r="Z174" s="2" t="s">
        <v>89</v>
      </c>
      <c r="AA174" s="2" t="s">
        <v>35</v>
      </c>
    </row>
    <row r="175" spans="1:27">
      <c r="A175" s="2" t="s">
        <v>300</v>
      </c>
      <c r="B175" s="3">
        <v>45547</v>
      </c>
      <c r="C175" s="2">
        <v>2024</v>
      </c>
      <c r="D175" s="2" t="s">
        <v>37</v>
      </c>
      <c r="E175" s="2" t="s">
        <v>28</v>
      </c>
      <c r="F175" s="2" t="s">
        <v>118</v>
      </c>
      <c r="G175" s="2" t="s">
        <v>121</v>
      </c>
      <c r="H175" s="2" t="s">
        <v>40</v>
      </c>
      <c r="I175" s="2" t="s">
        <v>52</v>
      </c>
      <c r="J175" s="2" t="s">
        <v>65</v>
      </c>
      <c r="K175" s="2" t="s">
        <v>100</v>
      </c>
      <c r="L175" s="2" t="s">
        <v>101</v>
      </c>
      <c r="M175" s="2" t="s">
        <v>102</v>
      </c>
      <c r="N175" s="2">
        <v>6.23</v>
      </c>
      <c r="O175" s="2">
        <v>320</v>
      </c>
      <c r="P175" s="2">
        <v>9.9</v>
      </c>
      <c r="Q175" s="4">
        <v>251.64</v>
      </c>
      <c r="R175" s="5">
        <v>1027.04</v>
      </c>
      <c r="S175" s="5">
        <v>258444.35</v>
      </c>
      <c r="T175" s="6">
        <v>4.58E-2</v>
      </c>
      <c r="U175" s="5">
        <v>246607.6</v>
      </c>
      <c r="V175" s="5">
        <v>21672.75</v>
      </c>
      <c r="W175" s="6">
        <v>0.22819999999999999</v>
      </c>
      <c r="X175" s="5">
        <v>56275.85</v>
      </c>
      <c r="Y175" s="2" t="s">
        <v>83</v>
      </c>
      <c r="Z175" s="2" t="s">
        <v>125</v>
      </c>
      <c r="AA175" s="2" t="s">
        <v>35</v>
      </c>
    </row>
    <row r="176" spans="1:27">
      <c r="A176" s="2" t="s">
        <v>301</v>
      </c>
      <c r="B176" s="3">
        <v>45945</v>
      </c>
      <c r="C176" s="2">
        <v>2025</v>
      </c>
      <c r="D176" s="2" t="s">
        <v>110</v>
      </c>
      <c r="E176" s="2" t="s">
        <v>77</v>
      </c>
      <c r="F176" s="2" t="s">
        <v>98</v>
      </c>
      <c r="G176" s="2" t="s">
        <v>135</v>
      </c>
      <c r="H176" s="2" t="s">
        <v>31</v>
      </c>
      <c r="I176" s="2" t="s">
        <v>41</v>
      </c>
      <c r="J176" s="2" t="s">
        <v>79</v>
      </c>
      <c r="K176" s="2" t="s">
        <v>100</v>
      </c>
      <c r="L176" s="2" t="s">
        <v>101</v>
      </c>
      <c r="M176" s="2" t="s">
        <v>108</v>
      </c>
      <c r="N176" s="2">
        <v>2.41</v>
      </c>
      <c r="O176" s="2">
        <v>356</v>
      </c>
      <c r="P176" s="2">
        <v>3.3</v>
      </c>
      <c r="Q176" s="4">
        <v>29.66</v>
      </c>
      <c r="R176" s="5">
        <v>1210.73</v>
      </c>
      <c r="S176" s="5">
        <v>35910.25</v>
      </c>
      <c r="T176" s="6">
        <v>2.6200000000000001E-2</v>
      </c>
      <c r="U176" s="5">
        <v>34969.4</v>
      </c>
      <c r="V176" s="5">
        <v>2587.46</v>
      </c>
      <c r="W176" s="6">
        <v>0.15659999999999999</v>
      </c>
      <c r="X176" s="5">
        <v>5476.21</v>
      </c>
      <c r="Y176" s="2" t="s">
        <v>56</v>
      </c>
      <c r="Z176" s="2" t="s">
        <v>70</v>
      </c>
      <c r="AA176" s="2" t="s">
        <v>35</v>
      </c>
    </row>
    <row r="177" spans="1:27">
      <c r="A177" s="2" t="s">
        <v>302</v>
      </c>
      <c r="B177" s="3">
        <v>45531</v>
      </c>
      <c r="C177" s="2">
        <v>2024</v>
      </c>
      <c r="D177" s="2" t="s">
        <v>27</v>
      </c>
      <c r="E177" s="2" t="s">
        <v>28</v>
      </c>
      <c r="F177" s="2" t="s">
        <v>118</v>
      </c>
      <c r="G177" s="2" t="s">
        <v>121</v>
      </c>
      <c r="H177" s="2" t="s">
        <v>40</v>
      </c>
      <c r="I177" s="2" t="s">
        <v>88</v>
      </c>
      <c r="J177" s="2" t="s">
        <v>65</v>
      </c>
      <c r="K177" s="2" t="s">
        <v>66</v>
      </c>
      <c r="L177" s="2" t="s">
        <v>67</v>
      </c>
      <c r="M177" s="2" t="s">
        <v>122</v>
      </c>
      <c r="N177" s="2">
        <v>14.16</v>
      </c>
      <c r="O177" s="2">
        <v>264</v>
      </c>
      <c r="P177" s="2">
        <v>3.5</v>
      </c>
      <c r="Q177" s="4">
        <v>164.71</v>
      </c>
      <c r="R177" s="5">
        <v>1262.26</v>
      </c>
      <c r="S177" s="5">
        <v>207906.84</v>
      </c>
      <c r="T177" s="6">
        <v>3.7600000000000001E-2</v>
      </c>
      <c r="U177" s="5">
        <v>200089.54</v>
      </c>
      <c r="V177" s="5">
        <v>12004.78</v>
      </c>
      <c r="W177" s="6">
        <v>0.1827</v>
      </c>
      <c r="X177" s="5">
        <v>36556.36</v>
      </c>
      <c r="Y177" s="2" t="s">
        <v>69</v>
      </c>
      <c r="Z177" s="2" t="s">
        <v>106</v>
      </c>
      <c r="AA177" s="2" t="s">
        <v>35</v>
      </c>
    </row>
    <row r="178" spans="1:27">
      <c r="A178" s="2" t="s">
        <v>303</v>
      </c>
      <c r="B178" s="3">
        <v>45731</v>
      </c>
      <c r="C178" s="2">
        <v>2025</v>
      </c>
      <c r="D178" s="2" t="s">
        <v>59</v>
      </c>
      <c r="E178" s="2" t="s">
        <v>60</v>
      </c>
      <c r="F178" s="2" t="s">
        <v>98</v>
      </c>
      <c r="G178" s="2" t="s">
        <v>137</v>
      </c>
      <c r="H178" s="2" t="s">
        <v>63</v>
      </c>
      <c r="I178" s="2" t="s">
        <v>116</v>
      </c>
      <c r="J178" s="2" t="s">
        <v>65</v>
      </c>
      <c r="K178" s="2" t="s">
        <v>66</v>
      </c>
      <c r="L178" s="2" t="s">
        <v>67</v>
      </c>
      <c r="M178" s="2" t="s">
        <v>152</v>
      </c>
      <c r="N178" s="2">
        <v>12.85</v>
      </c>
      <c r="O178" s="2">
        <v>102</v>
      </c>
      <c r="P178" s="2">
        <v>4.5</v>
      </c>
      <c r="Q178" s="4">
        <v>45.69</v>
      </c>
      <c r="R178" s="5">
        <v>1558.35</v>
      </c>
      <c r="S178" s="5">
        <v>71201.009999999995</v>
      </c>
      <c r="T178" s="6">
        <v>1.9E-2</v>
      </c>
      <c r="U178" s="5">
        <v>69848.19</v>
      </c>
      <c r="V178" s="5">
        <v>1016.4</v>
      </c>
      <c r="W178" s="6">
        <v>0.20979999999999999</v>
      </c>
      <c r="X178" s="5">
        <v>14654.15</v>
      </c>
      <c r="Y178" s="2" t="s">
        <v>83</v>
      </c>
      <c r="Z178" s="2" t="s">
        <v>106</v>
      </c>
      <c r="AA178" s="2" t="s">
        <v>35</v>
      </c>
    </row>
    <row r="179" spans="1:27">
      <c r="A179" s="2" t="s">
        <v>304</v>
      </c>
      <c r="B179" s="3">
        <v>45754</v>
      </c>
      <c r="C179" s="2">
        <v>2025</v>
      </c>
      <c r="D179" s="2" t="s">
        <v>48</v>
      </c>
      <c r="E179" s="2" t="s">
        <v>49</v>
      </c>
      <c r="F179" s="2" t="s">
        <v>86</v>
      </c>
      <c r="G179" s="2" t="s">
        <v>134</v>
      </c>
      <c r="H179" s="2" t="s">
        <v>73</v>
      </c>
      <c r="I179" s="2" t="s">
        <v>41</v>
      </c>
      <c r="J179" s="2" t="s">
        <v>79</v>
      </c>
      <c r="K179" s="2" t="s">
        <v>43</v>
      </c>
      <c r="L179" s="2" t="s">
        <v>44</v>
      </c>
      <c r="M179" s="2" t="s">
        <v>124</v>
      </c>
      <c r="N179" s="2">
        <v>11.1</v>
      </c>
      <c r="O179" s="2">
        <v>24</v>
      </c>
      <c r="P179" s="2">
        <v>8.1999999999999993</v>
      </c>
      <c r="Q179" s="4">
        <v>189.09</v>
      </c>
      <c r="R179" s="5">
        <v>736.98</v>
      </c>
      <c r="S179" s="5">
        <v>139355.54999999999</v>
      </c>
      <c r="T179" s="6">
        <v>3.3500000000000002E-2</v>
      </c>
      <c r="U179" s="5">
        <v>134687.14000000001</v>
      </c>
      <c r="V179" s="5">
        <v>7790.02</v>
      </c>
      <c r="W179" s="6">
        <v>0.21740000000000001</v>
      </c>
      <c r="X179" s="5">
        <v>29280.98</v>
      </c>
      <c r="Y179" s="2" t="s">
        <v>33</v>
      </c>
      <c r="Z179" s="2" t="s">
        <v>80</v>
      </c>
      <c r="AA179" s="2" t="s">
        <v>35</v>
      </c>
    </row>
    <row r="180" spans="1:27">
      <c r="A180" s="2" t="s">
        <v>305</v>
      </c>
      <c r="B180" s="3">
        <v>45990</v>
      </c>
      <c r="C180" s="2">
        <v>2025</v>
      </c>
      <c r="D180" s="2" t="s">
        <v>76</v>
      </c>
      <c r="E180" s="2" t="s">
        <v>77</v>
      </c>
      <c r="F180" s="2" t="s">
        <v>61</v>
      </c>
      <c r="G180" s="2" t="s">
        <v>62</v>
      </c>
      <c r="H180" s="2" t="s">
        <v>63</v>
      </c>
      <c r="I180" s="2" t="s">
        <v>88</v>
      </c>
      <c r="J180" s="2" t="s">
        <v>42</v>
      </c>
      <c r="K180" s="2" t="s">
        <v>43</v>
      </c>
      <c r="L180" s="2" t="s">
        <v>44</v>
      </c>
      <c r="M180" s="2" t="s">
        <v>171</v>
      </c>
      <c r="N180" s="2">
        <v>14</v>
      </c>
      <c r="O180" s="2">
        <v>39</v>
      </c>
      <c r="P180" s="2">
        <v>3.1</v>
      </c>
      <c r="Q180" s="4">
        <v>621.70000000000005</v>
      </c>
      <c r="R180" s="5">
        <v>742.71</v>
      </c>
      <c r="S180" s="5">
        <v>461742.81</v>
      </c>
      <c r="T180" s="6">
        <v>4.4499999999999998E-2</v>
      </c>
      <c r="U180" s="5">
        <v>441195.25</v>
      </c>
      <c r="V180" s="5">
        <v>19151.78</v>
      </c>
      <c r="W180" s="6">
        <v>0.19189999999999999</v>
      </c>
      <c r="X180" s="5">
        <v>84665.37</v>
      </c>
      <c r="Y180" s="2" t="s">
        <v>83</v>
      </c>
      <c r="Z180" s="2" t="s">
        <v>46</v>
      </c>
      <c r="AA180" s="2" t="s">
        <v>35</v>
      </c>
    </row>
    <row r="181" spans="1:27">
      <c r="A181" s="2" t="s">
        <v>306</v>
      </c>
      <c r="B181" s="3">
        <v>45861</v>
      </c>
      <c r="C181" s="2">
        <v>2025</v>
      </c>
      <c r="D181" s="2" t="s">
        <v>104</v>
      </c>
      <c r="E181" s="2" t="s">
        <v>28</v>
      </c>
      <c r="F181" s="2" t="s">
        <v>98</v>
      </c>
      <c r="G181" s="2" t="s">
        <v>99</v>
      </c>
      <c r="H181" s="2" t="s">
        <v>63</v>
      </c>
      <c r="I181" s="2" t="s">
        <v>52</v>
      </c>
      <c r="J181" s="2" t="s">
        <v>127</v>
      </c>
      <c r="K181" s="2" t="s">
        <v>54</v>
      </c>
      <c r="L181" s="2" t="s">
        <v>54</v>
      </c>
      <c r="M181" s="2" t="s">
        <v>158</v>
      </c>
      <c r="N181" s="2">
        <v>35.44</v>
      </c>
      <c r="O181" s="2">
        <v>2701</v>
      </c>
      <c r="P181" s="2">
        <v>10.6</v>
      </c>
      <c r="Q181" s="4">
        <v>143.69</v>
      </c>
      <c r="R181" s="5">
        <v>984.86</v>
      </c>
      <c r="S181" s="5">
        <v>141514.53</v>
      </c>
      <c r="T181" s="6">
        <v>2.3099999999999999E-2</v>
      </c>
      <c r="U181" s="5">
        <v>138245.54</v>
      </c>
      <c r="V181" s="5">
        <v>4601.38</v>
      </c>
      <c r="W181" s="6">
        <v>0.19639999999999999</v>
      </c>
      <c r="X181" s="5">
        <v>27151.42</v>
      </c>
      <c r="Y181" s="2" t="s">
        <v>33</v>
      </c>
      <c r="Z181" s="2" t="s">
        <v>80</v>
      </c>
      <c r="AA181" s="2" t="s">
        <v>35</v>
      </c>
    </row>
    <row r="182" spans="1:27">
      <c r="A182" s="2" t="s">
        <v>307</v>
      </c>
      <c r="B182" s="3">
        <v>45586</v>
      </c>
      <c r="C182" s="2">
        <v>2024</v>
      </c>
      <c r="D182" s="2" t="s">
        <v>110</v>
      </c>
      <c r="E182" s="2" t="s">
        <v>77</v>
      </c>
      <c r="F182" s="2" t="s">
        <v>118</v>
      </c>
      <c r="G182" s="2" t="s">
        <v>119</v>
      </c>
      <c r="H182" s="2" t="s">
        <v>31</v>
      </c>
      <c r="I182" s="2" t="s">
        <v>74</v>
      </c>
      <c r="J182" s="2" t="s">
        <v>127</v>
      </c>
      <c r="K182" s="2" t="s">
        <v>54</v>
      </c>
      <c r="L182" s="2" t="s">
        <v>54</v>
      </c>
      <c r="M182" s="2" t="s">
        <v>158</v>
      </c>
      <c r="N182" s="2">
        <v>30.45</v>
      </c>
      <c r="O182" s="2">
        <v>1747</v>
      </c>
      <c r="P182" s="2">
        <v>6.7</v>
      </c>
      <c r="Q182" s="4">
        <v>50.74</v>
      </c>
      <c r="R182" s="5">
        <v>1102.8399999999999</v>
      </c>
      <c r="S182" s="5">
        <v>55958.1</v>
      </c>
      <c r="T182" s="6">
        <v>3.2000000000000001E-2</v>
      </c>
      <c r="U182" s="5">
        <v>54167.44</v>
      </c>
      <c r="V182" s="5">
        <v>4328.1099999999997</v>
      </c>
      <c r="W182" s="6">
        <v>0.23549999999999999</v>
      </c>
      <c r="X182" s="5">
        <v>12756.43</v>
      </c>
      <c r="Y182" s="2" t="s">
        <v>33</v>
      </c>
      <c r="Z182" s="2" t="s">
        <v>125</v>
      </c>
      <c r="AA182" s="2" t="s">
        <v>35</v>
      </c>
    </row>
    <row r="183" spans="1:27">
      <c r="A183" s="2" t="s">
        <v>308</v>
      </c>
      <c r="B183" s="3">
        <v>45651</v>
      </c>
      <c r="C183" s="2">
        <v>2024</v>
      </c>
      <c r="D183" s="2" t="s">
        <v>97</v>
      </c>
      <c r="E183" s="2" t="s">
        <v>77</v>
      </c>
      <c r="F183" s="2" t="s">
        <v>61</v>
      </c>
      <c r="G183" s="2" t="s">
        <v>132</v>
      </c>
      <c r="H183" s="2" t="s">
        <v>63</v>
      </c>
      <c r="I183" s="2" t="s">
        <v>41</v>
      </c>
      <c r="J183" s="2" t="s">
        <v>65</v>
      </c>
      <c r="K183" s="2" t="s">
        <v>100</v>
      </c>
      <c r="L183" s="2" t="s">
        <v>101</v>
      </c>
      <c r="M183" s="2" t="s">
        <v>102</v>
      </c>
      <c r="N183" s="2">
        <v>13.24</v>
      </c>
      <c r="O183" s="2">
        <v>342</v>
      </c>
      <c r="P183" s="2">
        <v>11.1</v>
      </c>
      <c r="Q183" s="4">
        <v>123.61</v>
      </c>
      <c r="R183" s="5">
        <v>1210.06</v>
      </c>
      <c r="S183" s="5">
        <v>149575.51999999999</v>
      </c>
      <c r="T183" s="6">
        <v>2.5700000000000001E-2</v>
      </c>
      <c r="U183" s="5">
        <v>145731.43</v>
      </c>
      <c r="V183" s="5">
        <v>2652.12</v>
      </c>
      <c r="W183" s="6">
        <v>0.22020000000000001</v>
      </c>
      <c r="X183" s="5">
        <v>32090.06</v>
      </c>
      <c r="Y183" s="2" t="s">
        <v>56</v>
      </c>
      <c r="Z183" s="2" t="s">
        <v>125</v>
      </c>
      <c r="AA183" s="2" t="s">
        <v>35</v>
      </c>
    </row>
    <row r="184" spans="1:27">
      <c r="A184" s="2" t="s">
        <v>309</v>
      </c>
      <c r="B184" s="3">
        <v>45916</v>
      </c>
      <c r="C184" s="2">
        <v>2025</v>
      </c>
      <c r="D184" s="2" t="s">
        <v>37</v>
      </c>
      <c r="E184" s="2" t="s">
        <v>28</v>
      </c>
      <c r="F184" s="2" t="s">
        <v>98</v>
      </c>
      <c r="G184" s="2" t="s">
        <v>135</v>
      </c>
      <c r="H184" s="2" t="s">
        <v>31</v>
      </c>
      <c r="I184" s="2" t="s">
        <v>64</v>
      </c>
      <c r="J184" s="2" t="s">
        <v>65</v>
      </c>
      <c r="K184" s="2" t="s">
        <v>66</v>
      </c>
      <c r="L184" s="2" t="s">
        <v>67</v>
      </c>
      <c r="M184" s="2" t="s">
        <v>122</v>
      </c>
      <c r="N184" s="2">
        <v>17.18</v>
      </c>
      <c r="O184" s="2">
        <v>106</v>
      </c>
      <c r="P184" s="2">
        <v>7.4</v>
      </c>
      <c r="Q184" s="4">
        <v>18.82</v>
      </c>
      <c r="R184" s="5">
        <v>1391.45</v>
      </c>
      <c r="S184" s="5">
        <v>26187.09</v>
      </c>
      <c r="T184" s="6">
        <v>5.1700000000000003E-2</v>
      </c>
      <c r="U184" s="5">
        <v>24833.22</v>
      </c>
      <c r="V184" s="5">
        <v>1430.32</v>
      </c>
      <c r="W184" s="6">
        <v>0.19320000000000001</v>
      </c>
      <c r="X184" s="5">
        <v>4797.78</v>
      </c>
      <c r="Y184" s="2" t="s">
        <v>83</v>
      </c>
      <c r="Z184" s="2" t="s">
        <v>70</v>
      </c>
      <c r="AA184" s="2" t="s">
        <v>35</v>
      </c>
    </row>
    <row r="185" spans="1:27">
      <c r="A185" s="2" t="s">
        <v>310</v>
      </c>
      <c r="B185" s="3">
        <v>45322</v>
      </c>
      <c r="C185" s="2">
        <v>2024</v>
      </c>
      <c r="D185" s="2" t="s">
        <v>71</v>
      </c>
      <c r="E185" s="2" t="s">
        <v>60</v>
      </c>
      <c r="F185" s="2" t="s">
        <v>50</v>
      </c>
      <c r="G185" s="2" t="s">
        <v>92</v>
      </c>
      <c r="H185" s="2" t="s">
        <v>63</v>
      </c>
      <c r="I185" s="2" t="s">
        <v>52</v>
      </c>
      <c r="J185" s="2" t="s">
        <v>65</v>
      </c>
      <c r="K185" s="2" t="s">
        <v>66</v>
      </c>
      <c r="L185" s="2" t="s">
        <v>67</v>
      </c>
      <c r="M185" s="2" t="s">
        <v>122</v>
      </c>
      <c r="N185" s="2">
        <v>6.15</v>
      </c>
      <c r="O185" s="2">
        <v>106</v>
      </c>
      <c r="P185" s="2">
        <v>8.6999999999999993</v>
      </c>
      <c r="Q185" s="4">
        <v>186.39</v>
      </c>
      <c r="R185" s="5">
        <v>1581.78</v>
      </c>
      <c r="S185" s="5">
        <v>294827.96999999997</v>
      </c>
      <c r="T185" s="6">
        <v>4.19E-2</v>
      </c>
      <c r="U185" s="5">
        <v>282474.68</v>
      </c>
      <c r="V185" s="5">
        <v>7010.82</v>
      </c>
      <c r="W185" s="6">
        <v>0.2107</v>
      </c>
      <c r="X185" s="5">
        <v>59517.42</v>
      </c>
      <c r="Y185" s="2" t="s">
        <v>83</v>
      </c>
      <c r="Z185" s="2" t="s">
        <v>70</v>
      </c>
      <c r="AA185" s="2" t="s">
        <v>35</v>
      </c>
    </row>
    <row r="186" spans="1:27">
      <c r="A186" s="2" t="s">
        <v>311</v>
      </c>
      <c r="B186" s="3">
        <v>45918</v>
      </c>
      <c r="C186" s="2">
        <v>2025</v>
      </c>
      <c r="D186" s="2" t="s">
        <v>37</v>
      </c>
      <c r="E186" s="2" t="s">
        <v>28</v>
      </c>
      <c r="F186" s="2" t="s">
        <v>50</v>
      </c>
      <c r="G186" s="2" t="s">
        <v>51</v>
      </c>
      <c r="H186" s="2" t="s">
        <v>73</v>
      </c>
      <c r="I186" s="2" t="s">
        <v>32</v>
      </c>
      <c r="J186" s="2" t="s">
        <v>65</v>
      </c>
      <c r="K186" s="2" t="s">
        <v>66</v>
      </c>
      <c r="L186" s="2" t="s">
        <v>67</v>
      </c>
      <c r="M186" s="2" t="s">
        <v>152</v>
      </c>
      <c r="N186" s="2">
        <v>13.15</v>
      </c>
      <c r="O186" s="2">
        <v>267</v>
      </c>
      <c r="P186" s="2">
        <v>8.4</v>
      </c>
      <c r="Q186" s="4">
        <v>27.08</v>
      </c>
      <c r="R186" s="5">
        <v>1378.7</v>
      </c>
      <c r="S186" s="5">
        <v>37335.199999999997</v>
      </c>
      <c r="T186" s="6">
        <v>5.4100000000000002E-2</v>
      </c>
      <c r="U186" s="5">
        <v>35315.370000000003</v>
      </c>
      <c r="V186" s="5">
        <v>1126.76</v>
      </c>
      <c r="W186" s="6">
        <v>0.18260000000000001</v>
      </c>
      <c r="X186" s="5">
        <v>6448.59</v>
      </c>
      <c r="Y186" s="2" t="s">
        <v>33</v>
      </c>
      <c r="Z186" s="2" t="s">
        <v>70</v>
      </c>
      <c r="AA186" s="2" t="s">
        <v>35</v>
      </c>
    </row>
    <row r="187" spans="1:27">
      <c r="A187" s="2" t="s">
        <v>312</v>
      </c>
      <c r="B187" s="3">
        <v>45583</v>
      </c>
      <c r="C187" s="2">
        <v>2024</v>
      </c>
      <c r="D187" s="2" t="s">
        <v>110</v>
      </c>
      <c r="E187" s="2" t="s">
        <v>77</v>
      </c>
      <c r="F187" s="2" t="s">
        <v>118</v>
      </c>
      <c r="G187" s="2" t="s">
        <v>119</v>
      </c>
      <c r="H187" s="2" t="s">
        <v>73</v>
      </c>
      <c r="I187" s="2" t="s">
        <v>52</v>
      </c>
      <c r="J187" s="2" t="s">
        <v>127</v>
      </c>
      <c r="K187" s="2" t="s">
        <v>54</v>
      </c>
      <c r="L187" s="2" t="s">
        <v>54</v>
      </c>
      <c r="M187" s="2" t="s">
        <v>55</v>
      </c>
      <c r="N187" s="2">
        <v>59.65</v>
      </c>
      <c r="O187" s="2">
        <v>3172</v>
      </c>
      <c r="P187" s="2">
        <v>5.6</v>
      </c>
      <c r="Q187" s="4">
        <v>108.07</v>
      </c>
      <c r="R187" s="5">
        <v>1130.5899999999999</v>
      </c>
      <c r="S187" s="5">
        <v>122182.86</v>
      </c>
      <c r="T187" s="6">
        <v>4.1399999999999999E-2</v>
      </c>
      <c r="U187" s="5">
        <v>117124.49</v>
      </c>
      <c r="V187" s="5">
        <v>2928.61</v>
      </c>
      <c r="W187" s="6">
        <v>0.1216</v>
      </c>
      <c r="X187" s="5">
        <v>14242.34</v>
      </c>
      <c r="Y187" s="2" t="s">
        <v>75</v>
      </c>
      <c r="Z187" s="2" t="s">
        <v>57</v>
      </c>
      <c r="AA187" s="2" t="s">
        <v>35</v>
      </c>
    </row>
    <row r="188" spans="1:27">
      <c r="A188" s="2" t="s">
        <v>313</v>
      </c>
      <c r="B188" s="3">
        <v>45727</v>
      </c>
      <c r="C188" s="2">
        <v>2025</v>
      </c>
      <c r="D188" s="2" t="s">
        <v>59</v>
      </c>
      <c r="E188" s="2" t="s">
        <v>60</v>
      </c>
      <c r="F188" s="2" t="s">
        <v>98</v>
      </c>
      <c r="G188" s="2" t="s">
        <v>111</v>
      </c>
      <c r="H188" s="2" t="s">
        <v>63</v>
      </c>
      <c r="I188" s="2" t="s">
        <v>88</v>
      </c>
      <c r="J188" s="2" t="s">
        <v>53</v>
      </c>
      <c r="K188" s="2" t="s">
        <v>54</v>
      </c>
      <c r="L188" s="2" t="s">
        <v>54</v>
      </c>
      <c r="M188" s="2" t="s">
        <v>158</v>
      </c>
      <c r="N188" s="2">
        <v>55.14</v>
      </c>
      <c r="O188" s="2">
        <v>2071</v>
      </c>
      <c r="P188" s="2">
        <v>9.3000000000000007</v>
      </c>
      <c r="Q188" s="4">
        <v>28.48</v>
      </c>
      <c r="R188" s="5">
        <v>1120.3800000000001</v>
      </c>
      <c r="S188" s="5">
        <v>31908.42</v>
      </c>
      <c r="T188" s="6">
        <v>3.0099999999999998E-2</v>
      </c>
      <c r="U188" s="5">
        <v>30947.98</v>
      </c>
      <c r="V188" s="5">
        <v>1005.85</v>
      </c>
      <c r="W188" s="6">
        <v>0.21199999999999999</v>
      </c>
      <c r="X188" s="5">
        <v>6560.97</v>
      </c>
      <c r="Y188" s="2" t="s">
        <v>75</v>
      </c>
      <c r="Z188" s="2" t="s">
        <v>106</v>
      </c>
      <c r="AA188" s="2" t="s">
        <v>35</v>
      </c>
    </row>
    <row r="189" spans="1:27">
      <c r="A189" s="2" t="s">
        <v>314</v>
      </c>
      <c r="B189" s="3">
        <v>45953</v>
      </c>
      <c r="C189" s="2">
        <v>2025</v>
      </c>
      <c r="D189" s="2" t="s">
        <v>110</v>
      </c>
      <c r="E189" s="2" t="s">
        <v>77</v>
      </c>
      <c r="F189" s="2" t="s">
        <v>61</v>
      </c>
      <c r="G189" s="2" t="s">
        <v>114</v>
      </c>
      <c r="H189" s="2" t="s">
        <v>73</v>
      </c>
      <c r="I189" s="2" t="s">
        <v>32</v>
      </c>
      <c r="J189" s="2" t="s">
        <v>65</v>
      </c>
      <c r="K189" s="2" t="s">
        <v>100</v>
      </c>
      <c r="L189" s="2" t="s">
        <v>101</v>
      </c>
      <c r="M189" s="2" t="s">
        <v>108</v>
      </c>
      <c r="N189" s="2">
        <v>13.44</v>
      </c>
      <c r="O189" s="2">
        <v>287</v>
      </c>
      <c r="P189" s="2">
        <v>9.6999999999999993</v>
      </c>
      <c r="Q189" s="4">
        <v>10.56</v>
      </c>
      <c r="R189" s="5">
        <v>1303.58</v>
      </c>
      <c r="S189" s="5">
        <v>13765.8</v>
      </c>
      <c r="T189" s="6">
        <v>4.4499999999999998E-2</v>
      </c>
      <c r="U189" s="5">
        <v>13153.22</v>
      </c>
      <c r="V189" s="5">
        <v>293.24</v>
      </c>
      <c r="W189" s="6">
        <v>0.24</v>
      </c>
      <c r="X189" s="5">
        <v>3156.77</v>
      </c>
      <c r="Y189" s="2" t="s">
        <v>33</v>
      </c>
      <c r="Z189" s="2" t="s">
        <v>125</v>
      </c>
      <c r="AA189" s="2" t="s">
        <v>35</v>
      </c>
    </row>
    <row r="190" spans="1:27">
      <c r="A190" s="2" t="s">
        <v>315</v>
      </c>
      <c r="B190" s="3">
        <v>45922</v>
      </c>
      <c r="C190" s="2">
        <v>2025</v>
      </c>
      <c r="D190" s="2" t="s">
        <v>37</v>
      </c>
      <c r="E190" s="2" t="s">
        <v>28</v>
      </c>
      <c r="F190" s="2" t="s">
        <v>29</v>
      </c>
      <c r="G190" s="2" t="s">
        <v>95</v>
      </c>
      <c r="H190" s="2" t="s">
        <v>40</v>
      </c>
      <c r="I190" s="2" t="s">
        <v>52</v>
      </c>
      <c r="J190" s="2" t="s">
        <v>79</v>
      </c>
      <c r="K190" s="2" t="s">
        <v>100</v>
      </c>
      <c r="L190" s="2" t="s">
        <v>101</v>
      </c>
      <c r="M190" s="2" t="s">
        <v>102</v>
      </c>
      <c r="N190" s="2">
        <v>7.42</v>
      </c>
      <c r="O190" s="2">
        <v>188</v>
      </c>
      <c r="P190" s="2">
        <v>8.1</v>
      </c>
      <c r="Q190" s="4">
        <v>32.07</v>
      </c>
      <c r="R190" s="5">
        <v>1270.1600000000001</v>
      </c>
      <c r="S190" s="5">
        <v>40734.03</v>
      </c>
      <c r="T190" s="6">
        <v>3.56E-2</v>
      </c>
      <c r="U190" s="5">
        <v>39283.9</v>
      </c>
      <c r="V190" s="5">
        <v>1853.18</v>
      </c>
      <c r="W190" s="6">
        <v>0.158</v>
      </c>
      <c r="X190" s="5">
        <v>6206.86</v>
      </c>
      <c r="Y190" s="2" t="s">
        <v>75</v>
      </c>
      <c r="Z190" s="2" t="s">
        <v>34</v>
      </c>
      <c r="AA190" s="2" t="s">
        <v>35</v>
      </c>
    </row>
    <row r="191" spans="1:27">
      <c r="A191" s="2" t="s">
        <v>316</v>
      </c>
      <c r="B191" s="3">
        <v>45586</v>
      </c>
      <c r="C191" s="2">
        <v>2024</v>
      </c>
      <c r="D191" s="2" t="s">
        <v>110</v>
      </c>
      <c r="E191" s="2" t="s">
        <v>77</v>
      </c>
      <c r="F191" s="2" t="s">
        <v>50</v>
      </c>
      <c r="G191" s="2" t="s">
        <v>51</v>
      </c>
      <c r="H191" s="2" t="s">
        <v>40</v>
      </c>
      <c r="I191" s="2" t="s">
        <v>116</v>
      </c>
      <c r="J191" s="2" t="s">
        <v>65</v>
      </c>
      <c r="K191" s="2" t="s">
        <v>66</v>
      </c>
      <c r="L191" s="2" t="s">
        <v>67</v>
      </c>
      <c r="M191" s="2" t="s">
        <v>152</v>
      </c>
      <c r="N191" s="2">
        <v>5.44</v>
      </c>
      <c r="O191" s="2">
        <v>295</v>
      </c>
      <c r="P191" s="2">
        <v>5.4</v>
      </c>
      <c r="Q191" s="4">
        <v>175.01</v>
      </c>
      <c r="R191" s="5">
        <v>1690.22</v>
      </c>
      <c r="S191" s="5">
        <v>295805.40000000002</v>
      </c>
      <c r="T191" s="6">
        <v>4.0099999999999997E-2</v>
      </c>
      <c r="U191" s="5">
        <v>283943.59999999998</v>
      </c>
      <c r="V191" s="5">
        <v>14342.57</v>
      </c>
      <c r="W191" s="6">
        <v>0.26700000000000002</v>
      </c>
      <c r="X191" s="5">
        <v>75812.94</v>
      </c>
      <c r="Y191" s="2" t="s">
        <v>33</v>
      </c>
      <c r="Z191" s="2" t="s">
        <v>34</v>
      </c>
      <c r="AA191" s="2" t="s">
        <v>35</v>
      </c>
    </row>
    <row r="192" spans="1:27">
      <c r="A192" s="2" t="s">
        <v>317</v>
      </c>
      <c r="B192" s="3">
        <v>45476</v>
      </c>
      <c r="C192" s="2">
        <v>2024</v>
      </c>
      <c r="D192" s="2" t="s">
        <v>104</v>
      </c>
      <c r="E192" s="2" t="s">
        <v>28</v>
      </c>
      <c r="F192" s="2" t="s">
        <v>29</v>
      </c>
      <c r="G192" s="2" t="s">
        <v>78</v>
      </c>
      <c r="H192" s="2" t="s">
        <v>40</v>
      </c>
      <c r="I192" s="2" t="s">
        <v>64</v>
      </c>
      <c r="J192" s="2" t="s">
        <v>65</v>
      </c>
      <c r="K192" s="2" t="s">
        <v>54</v>
      </c>
      <c r="L192" s="2" t="s">
        <v>54</v>
      </c>
      <c r="M192" s="2" t="s">
        <v>94</v>
      </c>
      <c r="N192" s="2">
        <v>28.97</v>
      </c>
      <c r="O192" s="2">
        <v>2509</v>
      </c>
      <c r="P192" s="2">
        <v>8.1999999999999993</v>
      </c>
      <c r="Q192" s="4">
        <v>174.2</v>
      </c>
      <c r="R192" s="5">
        <v>1186.24</v>
      </c>
      <c r="S192" s="5">
        <v>206643.01</v>
      </c>
      <c r="T192" s="6">
        <v>1.9E-2</v>
      </c>
      <c r="U192" s="5">
        <v>202716.79</v>
      </c>
      <c r="V192" s="5">
        <v>14401.93</v>
      </c>
      <c r="W192" s="6">
        <v>0.2225</v>
      </c>
      <c r="X192" s="5">
        <v>45104.49</v>
      </c>
      <c r="Y192" s="2" t="s">
        <v>33</v>
      </c>
      <c r="Z192" s="2" t="s">
        <v>125</v>
      </c>
      <c r="AA192" s="2" t="s">
        <v>35</v>
      </c>
    </row>
    <row r="193" spans="1:27">
      <c r="A193" s="2" t="s">
        <v>318</v>
      </c>
      <c r="B193" s="3">
        <v>45556</v>
      </c>
      <c r="C193" s="2">
        <v>2024</v>
      </c>
      <c r="D193" s="2" t="s">
        <v>37</v>
      </c>
      <c r="E193" s="2" t="s">
        <v>28</v>
      </c>
      <c r="F193" s="2" t="s">
        <v>86</v>
      </c>
      <c r="G193" s="2" t="s">
        <v>87</v>
      </c>
      <c r="H193" s="2" t="s">
        <v>63</v>
      </c>
      <c r="I193" s="2" t="s">
        <v>41</v>
      </c>
      <c r="J193" s="2" t="s">
        <v>42</v>
      </c>
      <c r="K193" s="2" t="s">
        <v>43</v>
      </c>
      <c r="L193" s="2" t="s">
        <v>44</v>
      </c>
      <c r="M193" s="2" t="s">
        <v>45</v>
      </c>
      <c r="N193" s="2">
        <v>17.66</v>
      </c>
      <c r="O193" s="2">
        <v>28</v>
      </c>
      <c r="P193" s="2">
        <v>3.4</v>
      </c>
      <c r="Q193" s="4">
        <v>395.09</v>
      </c>
      <c r="R193" s="5">
        <v>684.79</v>
      </c>
      <c r="S193" s="5">
        <v>270553.68</v>
      </c>
      <c r="T193" s="6">
        <v>5.6000000000000001E-2</v>
      </c>
      <c r="U193" s="5">
        <v>255402.67</v>
      </c>
      <c r="V193" s="5">
        <v>15994.81</v>
      </c>
      <c r="W193" s="6">
        <v>0.26860000000000001</v>
      </c>
      <c r="X193" s="5">
        <v>68601.16</v>
      </c>
      <c r="Y193" s="2" t="s">
        <v>69</v>
      </c>
      <c r="Z193" s="2" t="s">
        <v>70</v>
      </c>
      <c r="AA193" s="2" t="s">
        <v>35</v>
      </c>
    </row>
    <row r="194" spans="1:27">
      <c r="A194" s="2" t="s">
        <v>319</v>
      </c>
      <c r="B194" s="3">
        <v>45450</v>
      </c>
      <c r="C194" s="2">
        <v>2024</v>
      </c>
      <c r="D194" s="2" t="s">
        <v>91</v>
      </c>
      <c r="E194" s="2" t="s">
        <v>49</v>
      </c>
      <c r="F194" s="2" t="s">
        <v>98</v>
      </c>
      <c r="G194" s="2" t="s">
        <v>99</v>
      </c>
      <c r="H194" s="2" t="s">
        <v>63</v>
      </c>
      <c r="I194" s="2" t="s">
        <v>93</v>
      </c>
      <c r="J194" s="2" t="s">
        <v>79</v>
      </c>
      <c r="K194" s="2" t="s">
        <v>43</v>
      </c>
      <c r="L194" s="2" t="s">
        <v>44</v>
      </c>
      <c r="M194" s="2" t="s">
        <v>45</v>
      </c>
      <c r="N194" s="2">
        <v>17.89</v>
      </c>
      <c r="O194" s="2">
        <v>38</v>
      </c>
      <c r="P194" s="2">
        <v>5.0999999999999996</v>
      </c>
      <c r="Q194" s="4">
        <v>247.77</v>
      </c>
      <c r="R194" s="5">
        <v>696.84</v>
      </c>
      <c r="S194" s="5">
        <v>172656.05</v>
      </c>
      <c r="T194" s="6">
        <v>5.0299999999999997E-2</v>
      </c>
      <c r="U194" s="5">
        <v>163971.45000000001</v>
      </c>
      <c r="V194" s="5">
        <v>5652.08</v>
      </c>
      <c r="W194" s="6">
        <v>0.21859999999999999</v>
      </c>
      <c r="X194" s="5">
        <v>35844.160000000003</v>
      </c>
      <c r="Y194" s="2" t="s">
        <v>83</v>
      </c>
      <c r="Z194" s="2" t="s">
        <v>80</v>
      </c>
      <c r="AA194" s="2" t="s">
        <v>35</v>
      </c>
    </row>
    <row r="195" spans="1:27">
      <c r="A195" s="2" t="s">
        <v>320</v>
      </c>
      <c r="B195" s="3">
        <v>45410</v>
      </c>
      <c r="C195" s="2">
        <v>2024</v>
      </c>
      <c r="D195" s="2" t="s">
        <v>48</v>
      </c>
      <c r="E195" s="2" t="s">
        <v>49</v>
      </c>
      <c r="F195" s="2" t="s">
        <v>118</v>
      </c>
      <c r="G195" s="2" t="s">
        <v>121</v>
      </c>
      <c r="H195" s="2" t="s">
        <v>31</v>
      </c>
      <c r="I195" s="2" t="s">
        <v>64</v>
      </c>
      <c r="J195" s="2" t="s">
        <v>42</v>
      </c>
      <c r="K195" s="2" t="s">
        <v>100</v>
      </c>
      <c r="L195" s="2" t="s">
        <v>101</v>
      </c>
      <c r="M195" s="2" t="s">
        <v>145</v>
      </c>
      <c r="N195" s="2">
        <v>10.26</v>
      </c>
      <c r="O195" s="2">
        <v>232</v>
      </c>
      <c r="P195" s="2">
        <v>12</v>
      </c>
      <c r="Q195" s="4">
        <v>27.23</v>
      </c>
      <c r="R195" s="5">
        <v>1068.47</v>
      </c>
      <c r="S195" s="5">
        <v>29094.44</v>
      </c>
      <c r="T195" s="6">
        <v>5.2200000000000003E-2</v>
      </c>
      <c r="U195" s="5">
        <v>27575.71</v>
      </c>
      <c r="V195" s="5">
        <v>2164.09</v>
      </c>
      <c r="W195" s="6">
        <v>0.25800000000000001</v>
      </c>
      <c r="X195" s="5">
        <v>7114.53</v>
      </c>
      <c r="Y195" s="2" t="s">
        <v>56</v>
      </c>
      <c r="Z195" s="2" t="s">
        <v>80</v>
      </c>
      <c r="AA195" s="2" t="s">
        <v>35</v>
      </c>
    </row>
    <row r="196" spans="1:27">
      <c r="A196" s="2" t="s">
        <v>321</v>
      </c>
      <c r="B196" s="3">
        <v>45606</v>
      </c>
      <c r="C196" s="2">
        <v>2024</v>
      </c>
      <c r="D196" s="2" t="s">
        <v>76</v>
      </c>
      <c r="E196" s="2" t="s">
        <v>77</v>
      </c>
      <c r="F196" s="2" t="s">
        <v>118</v>
      </c>
      <c r="G196" s="2" t="s">
        <v>121</v>
      </c>
      <c r="H196" s="2" t="s">
        <v>40</v>
      </c>
      <c r="I196" s="2" t="s">
        <v>41</v>
      </c>
      <c r="J196" s="2" t="s">
        <v>42</v>
      </c>
      <c r="K196" s="2" t="s">
        <v>43</v>
      </c>
      <c r="L196" s="2" t="s">
        <v>44</v>
      </c>
      <c r="M196" s="2" t="s">
        <v>124</v>
      </c>
      <c r="N196" s="2">
        <v>37.130000000000003</v>
      </c>
      <c r="O196" s="2">
        <v>21</v>
      </c>
      <c r="P196" s="2">
        <v>11.2</v>
      </c>
      <c r="Q196" s="4">
        <v>302.37</v>
      </c>
      <c r="R196" s="5">
        <v>778.65</v>
      </c>
      <c r="S196" s="5">
        <v>235440.4</v>
      </c>
      <c r="T196" s="6">
        <v>3.7999999999999999E-2</v>
      </c>
      <c r="U196" s="5">
        <v>226493.66</v>
      </c>
      <c r="V196" s="5">
        <v>25789.360000000001</v>
      </c>
      <c r="W196" s="6">
        <v>0.1731</v>
      </c>
      <c r="X196" s="5">
        <v>39206.050000000003</v>
      </c>
      <c r="Y196" s="2" t="s">
        <v>69</v>
      </c>
      <c r="Z196" s="2" t="s">
        <v>106</v>
      </c>
      <c r="AA196" s="2" t="s">
        <v>35</v>
      </c>
    </row>
    <row r="197" spans="1:27">
      <c r="A197" s="2" t="s">
        <v>322</v>
      </c>
      <c r="B197" s="3">
        <v>45788</v>
      </c>
      <c r="C197" s="2">
        <v>2025</v>
      </c>
      <c r="D197" s="2" t="s">
        <v>81</v>
      </c>
      <c r="E197" s="2" t="s">
        <v>49</v>
      </c>
      <c r="F197" s="2" t="s">
        <v>98</v>
      </c>
      <c r="G197" s="2" t="s">
        <v>99</v>
      </c>
      <c r="H197" s="2" t="s">
        <v>40</v>
      </c>
      <c r="I197" s="2" t="s">
        <v>52</v>
      </c>
      <c r="J197" s="2" t="s">
        <v>65</v>
      </c>
      <c r="K197" s="2" t="s">
        <v>66</v>
      </c>
      <c r="L197" s="2" t="s">
        <v>67</v>
      </c>
      <c r="M197" s="2" t="s">
        <v>122</v>
      </c>
      <c r="N197" s="2">
        <v>5.1100000000000003</v>
      </c>
      <c r="O197" s="2">
        <v>197</v>
      </c>
      <c r="P197" s="2">
        <v>11</v>
      </c>
      <c r="Q197" s="4">
        <v>200.19</v>
      </c>
      <c r="R197" s="5">
        <v>1454.66</v>
      </c>
      <c r="S197" s="5">
        <v>291208.39</v>
      </c>
      <c r="T197" s="6">
        <v>3.9300000000000002E-2</v>
      </c>
      <c r="U197" s="5">
        <v>279763.90000000002</v>
      </c>
      <c r="V197" s="5">
        <v>17002.689999999999</v>
      </c>
      <c r="W197" s="6">
        <v>0.2641</v>
      </c>
      <c r="X197" s="5">
        <v>73885.649999999994</v>
      </c>
      <c r="Y197" s="2" t="s">
        <v>69</v>
      </c>
      <c r="Z197" s="2" t="s">
        <v>106</v>
      </c>
      <c r="AA197" s="2" t="s">
        <v>35</v>
      </c>
    </row>
    <row r="198" spans="1:27">
      <c r="A198" s="2" t="s">
        <v>323</v>
      </c>
      <c r="B198" s="3">
        <v>45609</v>
      </c>
      <c r="C198" s="2">
        <v>2024</v>
      </c>
      <c r="D198" s="2" t="s">
        <v>76</v>
      </c>
      <c r="E198" s="2" t="s">
        <v>77</v>
      </c>
      <c r="F198" s="2" t="s">
        <v>61</v>
      </c>
      <c r="G198" s="2" t="s">
        <v>132</v>
      </c>
      <c r="H198" s="2" t="s">
        <v>31</v>
      </c>
      <c r="I198" s="2" t="s">
        <v>52</v>
      </c>
      <c r="J198" s="2" t="s">
        <v>42</v>
      </c>
      <c r="K198" s="2" t="s">
        <v>100</v>
      </c>
      <c r="L198" s="2" t="s">
        <v>101</v>
      </c>
      <c r="M198" s="2" t="s">
        <v>102</v>
      </c>
      <c r="N198" s="2">
        <v>15.6</v>
      </c>
      <c r="O198" s="2">
        <v>553</v>
      </c>
      <c r="P198" s="2">
        <v>5.3</v>
      </c>
      <c r="Q198" s="4">
        <v>163.5</v>
      </c>
      <c r="R198" s="5">
        <v>1393.85</v>
      </c>
      <c r="S198" s="5">
        <v>227894.47</v>
      </c>
      <c r="T198" s="6">
        <v>2.6100000000000002E-2</v>
      </c>
      <c r="U198" s="5">
        <v>221946.42</v>
      </c>
      <c r="V198" s="5">
        <v>14913.98</v>
      </c>
      <c r="W198" s="6">
        <v>0.20039999999999999</v>
      </c>
      <c r="X198" s="5">
        <v>44478.06</v>
      </c>
      <c r="Y198" s="2" t="s">
        <v>83</v>
      </c>
      <c r="Z198" s="2" t="s">
        <v>70</v>
      </c>
      <c r="AA198" s="2" t="s">
        <v>35</v>
      </c>
    </row>
    <row r="199" spans="1:27">
      <c r="A199" s="2" t="s">
        <v>324</v>
      </c>
      <c r="B199" s="3">
        <v>45893</v>
      </c>
      <c r="C199" s="2">
        <v>2025</v>
      </c>
      <c r="D199" s="2" t="s">
        <v>27</v>
      </c>
      <c r="E199" s="2" t="s">
        <v>28</v>
      </c>
      <c r="F199" s="2" t="s">
        <v>38</v>
      </c>
      <c r="G199" s="2" t="s">
        <v>39</v>
      </c>
      <c r="H199" s="2" t="s">
        <v>31</v>
      </c>
      <c r="I199" s="2" t="s">
        <v>41</v>
      </c>
      <c r="J199" s="2" t="s">
        <v>42</v>
      </c>
      <c r="K199" s="2" t="s">
        <v>43</v>
      </c>
      <c r="L199" s="2" t="s">
        <v>44</v>
      </c>
      <c r="M199" s="2" t="s">
        <v>171</v>
      </c>
      <c r="N199" s="2">
        <v>17.5</v>
      </c>
      <c r="O199" s="2">
        <v>33</v>
      </c>
      <c r="P199" s="2">
        <v>3.1</v>
      </c>
      <c r="Q199" s="4">
        <v>307.74</v>
      </c>
      <c r="R199" s="5">
        <v>692.8</v>
      </c>
      <c r="S199" s="5">
        <v>213202.27</v>
      </c>
      <c r="T199" s="6">
        <v>5.91E-2</v>
      </c>
      <c r="U199" s="5">
        <v>200602.02</v>
      </c>
      <c r="V199" s="5">
        <v>26955.29</v>
      </c>
      <c r="W199" s="6">
        <v>0.1298</v>
      </c>
      <c r="X199" s="5">
        <v>26038.14</v>
      </c>
      <c r="Y199" s="2" t="s">
        <v>83</v>
      </c>
      <c r="Z199" s="2" t="s">
        <v>125</v>
      </c>
      <c r="AA199" s="2" t="s">
        <v>35</v>
      </c>
    </row>
    <row r="200" spans="1:27">
      <c r="A200" s="2" t="s">
        <v>325</v>
      </c>
      <c r="B200" s="3">
        <v>45716</v>
      </c>
      <c r="C200" s="2">
        <v>2025</v>
      </c>
      <c r="D200" s="2" t="s">
        <v>113</v>
      </c>
      <c r="E200" s="2" t="s">
        <v>60</v>
      </c>
      <c r="F200" s="2" t="s">
        <v>29</v>
      </c>
      <c r="G200" s="2" t="s">
        <v>30</v>
      </c>
      <c r="H200" s="2" t="s">
        <v>63</v>
      </c>
      <c r="I200" s="2" t="s">
        <v>116</v>
      </c>
      <c r="J200" s="2" t="s">
        <v>127</v>
      </c>
      <c r="K200" s="2" t="s">
        <v>54</v>
      </c>
      <c r="L200" s="2" t="s">
        <v>54</v>
      </c>
      <c r="M200" s="2" t="s">
        <v>162</v>
      </c>
      <c r="N200" s="2">
        <v>47.94</v>
      </c>
      <c r="O200" s="2">
        <v>1538</v>
      </c>
      <c r="P200" s="2">
        <v>3.7</v>
      </c>
      <c r="Q200" s="4">
        <v>184.9</v>
      </c>
      <c r="R200" s="5">
        <v>1183.73</v>
      </c>
      <c r="S200" s="5">
        <v>218871.67999999999</v>
      </c>
      <c r="T200" s="6">
        <v>5.1400000000000001E-2</v>
      </c>
      <c r="U200" s="5">
        <v>207621.68</v>
      </c>
      <c r="V200" s="5">
        <v>3650.87</v>
      </c>
      <c r="W200" s="6">
        <v>0.2606</v>
      </c>
      <c r="X200" s="5">
        <v>54106.21</v>
      </c>
      <c r="Y200" s="2" t="s">
        <v>33</v>
      </c>
      <c r="Z200" s="2" t="s">
        <v>34</v>
      </c>
      <c r="AA200" s="2" t="s">
        <v>35</v>
      </c>
    </row>
    <row r="201" spans="1:27">
      <c r="A201" s="2" t="s">
        <v>326</v>
      </c>
      <c r="B201" s="3">
        <v>45381</v>
      </c>
      <c r="C201" s="2">
        <v>2024</v>
      </c>
      <c r="D201" s="2" t="s">
        <v>59</v>
      </c>
      <c r="E201" s="2" t="s">
        <v>60</v>
      </c>
      <c r="F201" s="2" t="s">
        <v>29</v>
      </c>
      <c r="G201" s="2" t="s">
        <v>30</v>
      </c>
      <c r="H201" s="2" t="s">
        <v>31</v>
      </c>
      <c r="I201" s="2" t="s">
        <v>74</v>
      </c>
      <c r="J201" s="2" t="s">
        <v>127</v>
      </c>
      <c r="K201" s="2" t="s">
        <v>54</v>
      </c>
      <c r="L201" s="2" t="s">
        <v>54</v>
      </c>
      <c r="M201" s="2" t="s">
        <v>162</v>
      </c>
      <c r="N201" s="2">
        <v>48.2</v>
      </c>
      <c r="O201" s="2">
        <v>2139</v>
      </c>
      <c r="P201" s="2">
        <v>8.6999999999999993</v>
      </c>
      <c r="Q201" s="4">
        <v>82.77</v>
      </c>
      <c r="R201" s="5">
        <v>1323.62</v>
      </c>
      <c r="S201" s="5">
        <v>109556.03</v>
      </c>
      <c r="T201" s="6">
        <v>3.6200000000000003E-2</v>
      </c>
      <c r="U201" s="5">
        <v>105590.1</v>
      </c>
      <c r="V201" s="5">
        <v>6649</v>
      </c>
      <c r="W201" s="6">
        <v>0.22689999999999999</v>
      </c>
      <c r="X201" s="5">
        <v>23958.39</v>
      </c>
      <c r="Y201" s="2" t="s">
        <v>69</v>
      </c>
      <c r="Z201" s="2" t="s">
        <v>89</v>
      </c>
      <c r="AA201" s="2" t="s">
        <v>35</v>
      </c>
    </row>
    <row r="202" spans="1:27">
      <c r="A202" s="2" t="s">
        <v>327</v>
      </c>
      <c r="B202" s="3">
        <v>45887</v>
      </c>
      <c r="C202" s="2">
        <v>2025</v>
      </c>
      <c r="D202" s="2" t="s">
        <v>27</v>
      </c>
      <c r="E202" s="2" t="s">
        <v>28</v>
      </c>
      <c r="F202" s="2" t="s">
        <v>118</v>
      </c>
      <c r="G202" s="2" t="s">
        <v>119</v>
      </c>
      <c r="H202" s="2" t="s">
        <v>40</v>
      </c>
      <c r="I202" s="2" t="s">
        <v>64</v>
      </c>
      <c r="J202" s="2" t="s">
        <v>42</v>
      </c>
      <c r="K202" s="2" t="s">
        <v>43</v>
      </c>
      <c r="L202" s="2" t="s">
        <v>44</v>
      </c>
      <c r="M202" s="2" t="s">
        <v>85</v>
      </c>
      <c r="N202" s="2">
        <v>31.97</v>
      </c>
      <c r="O202" s="2">
        <v>16</v>
      </c>
      <c r="P202" s="2">
        <v>9.3000000000000007</v>
      </c>
      <c r="Q202" s="4">
        <v>601.65</v>
      </c>
      <c r="R202" s="5">
        <v>650.35</v>
      </c>
      <c r="S202" s="5">
        <v>391283.08</v>
      </c>
      <c r="T202" s="6">
        <v>5.2999999999999999E-2</v>
      </c>
      <c r="U202" s="5">
        <v>370545.08</v>
      </c>
      <c r="V202" s="5">
        <v>55644.56</v>
      </c>
      <c r="W202" s="6">
        <v>0.14169999999999999</v>
      </c>
      <c r="X202" s="5">
        <v>52506.239999999998</v>
      </c>
      <c r="Y202" s="2" t="s">
        <v>56</v>
      </c>
      <c r="Z202" s="2" t="s">
        <v>125</v>
      </c>
      <c r="AA202" s="2" t="s">
        <v>35</v>
      </c>
    </row>
    <row r="203" spans="1:27">
      <c r="A203" s="2" t="s">
        <v>328</v>
      </c>
      <c r="B203" s="3">
        <v>45933</v>
      </c>
      <c r="C203" s="2">
        <v>2025</v>
      </c>
      <c r="D203" s="2" t="s">
        <v>110</v>
      </c>
      <c r="E203" s="2" t="s">
        <v>77</v>
      </c>
      <c r="F203" s="2" t="s">
        <v>86</v>
      </c>
      <c r="G203" s="2" t="s">
        <v>117</v>
      </c>
      <c r="H203" s="2" t="s">
        <v>63</v>
      </c>
      <c r="I203" s="2" t="s">
        <v>93</v>
      </c>
      <c r="J203" s="2" t="s">
        <v>65</v>
      </c>
      <c r="K203" s="2" t="s">
        <v>66</v>
      </c>
      <c r="L203" s="2" t="s">
        <v>67</v>
      </c>
      <c r="M203" s="2" t="s">
        <v>122</v>
      </c>
      <c r="N203" s="2">
        <v>11.94</v>
      </c>
      <c r="O203" s="2">
        <v>288</v>
      </c>
      <c r="P203" s="2">
        <v>8.6</v>
      </c>
      <c r="Q203" s="4">
        <v>114.47</v>
      </c>
      <c r="R203" s="5">
        <v>1445.23</v>
      </c>
      <c r="S203" s="5">
        <v>165435.48000000001</v>
      </c>
      <c r="T203" s="6">
        <v>5.5300000000000002E-2</v>
      </c>
      <c r="U203" s="5">
        <v>156286.9</v>
      </c>
      <c r="V203" s="5">
        <v>3189.53</v>
      </c>
      <c r="W203" s="6">
        <v>0.19170000000000001</v>
      </c>
      <c r="X203" s="5">
        <v>29960.2</v>
      </c>
      <c r="Y203" s="2" t="s">
        <v>75</v>
      </c>
      <c r="Z203" s="2" t="s">
        <v>106</v>
      </c>
      <c r="AA203" s="2" t="s">
        <v>35</v>
      </c>
    </row>
    <row r="204" spans="1:27">
      <c r="A204" s="2" t="s">
        <v>329</v>
      </c>
      <c r="B204" s="3">
        <v>45661</v>
      </c>
      <c r="C204" s="2">
        <v>2025</v>
      </c>
      <c r="D204" s="2" t="s">
        <v>71</v>
      </c>
      <c r="E204" s="2" t="s">
        <v>60</v>
      </c>
      <c r="F204" s="2" t="s">
        <v>61</v>
      </c>
      <c r="G204" s="2" t="s">
        <v>62</v>
      </c>
      <c r="H204" s="2" t="s">
        <v>63</v>
      </c>
      <c r="I204" s="2" t="s">
        <v>93</v>
      </c>
      <c r="J204" s="2" t="s">
        <v>53</v>
      </c>
      <c r="K204" s="2" t="s">
        <v>54</v>
      </c>
      <c r="L204" s="2" t="s">
        <v>54</v>
      </c>
      <c r="M204" s="2" t="s">
        <v>55</v>
      </c>
      <c r="N204" s="2">
        <v>43.2</v>
      </c>
      <c r="O204" s="2">
        <v>3102</v>
      </c>
      <c r="P204" s="2">
        <v>11.2</v>
      </c>
      <c r="Q204" s="4">
        <v>165.7</v>
      </c>
      <c r="R204" s="5">
        <v>1099.96</v>
      </c>
      <c r="S204" s="5">
        <v>182263.37</v>
      </c>
      <c r="T204" s="6">
        <v>4.9399999999999999E-2</v>
      </c>
      <c r="U204" s="5">
        <v>173259.56</v>
      </c>
      <c r="V204" s="5">
        <v>3268.61</v>
      </c>
      <c r="W204" s="6">
        <v>0.2087</v>
      </c>
      <c r="X204" s="5">
        <v>36159.269999999997</v>
      </c>
      <c r="Y204" s="2" t="s">
        <v>69</v>
      </c>
      <c r="Z204" s="2" t="s">
        <v>46</v>
      </c>
      <c r="AA204" s="2" t="s">
        <v>35</v>
      </c>
    </row>
    <row r="205" spans="1:27">
      <c r="A205" s="2" t="s">
        <v>330</v>
      </c>
      <c r="B205" s="3">
        <v>45624</v>
      </c>
      <c r="C205" s="2">
        <v>2024</v>
      </c>
      <c r="D205" s="2" t="s">
        <v>76</v>
      </c>
      <c r="E205" s="2" t="s">
        <v>77</v>
      </c>
      <c r="F205" s="2" t="s">
        <v>86</v>
      </c>
      <c r="G205" s="2" t="s">
        <v>117</v>
      </c>
      <c r="H205" s="2" t="s">
        <v>73</v>
      </c>
      <c r="I205" s="2" t="s">
        <v>116</v>
      </c>
      <c r="J205" s="2" t="s">
        <v>65</v>
      </c>
      <c r="K205" s="2" t="s">
        <v>66</v>
      </c>
      <c r="L205" s="2" t="s">
        <v>67</v>
      </c>
      <c r="M205" s="2" t="s">
        <v>68</v>
      </c>
      <c r="N205" s="2">
        <v>14.62</v>
      </c>
      <c r="O205" s="2">
        <v>209</v>
      </c>
      <c r="P205" s="2">
        <v>4.8</v>
      </c>
      <c r="Q205" s="4">
        <v>19.87</v>
      </c>
      <c r="R205" s="5">
        <v>1518.14</v>
      </c>
      <c r="S205" s="5">
        <v>30165.439999999999</v>
      </c>
      <c r="T205" s="6">
        <v>1.7500000000000002E-2</v>
      </c>
      <c r="U205" s="5">
        <v>29637.54</v>
      </c>
      <c r="V205" s="5">
        <v>509.76</v>
      </c>
      <c r="W205" s="6">
        <v>0.20730000000000001</v>
      </c>
      <c r="X205" s="5">
        <v>6143.86</v>
      </c>
      <c r="Y205" s="2" t="s">
        <v>75</v>
      </c>
      <c r="Z205" s="2" t="s">
        <v>57</v>
      </c>
      <c r="AA205" s="2" t="s">
        <v>35</v>
      </c>
    </row>
    <row r="206" spans="1:27">
      <c r="A206" s="2" t="s">
        <v>331</v>
      </c>
      <c r="B206" s="3">
        <v>45431</v>
      </c>
      <c r="C206" s="2">
        <v>2024</v>
      </c>
      <c r="D206" s="2" t="s">
        <v>81</v>
      </c>
      <c r="E206" s="2" t="s">
        <v>49</v>
      </c>
      <c r="F206" s="2" t="s">
        <v>86</v>
      </c>
      <c r="G206" s="2" t="s">
        <v>117</v>
      </c>
      <c r="H206" s="2" t="s">
        <v>31</v>
      </c>
      <c r="I206" s="2" t="s">
        <v>116</v>
      </c>
      <c r="J206" s="2" t="s">
        <v>127</v>
      </c>
      <c r="K206" s="2" t="s">
        <v>54</v>
      </c>
      <c r="L206" s="2" t="s">
        <v>54</v>
      </c>
      <c r="M206" s="2" t="s">
        <v>158</v>
      </c>
      <c r="N206" s="2">
        <v>56.17</v>
      </c>
      <c r="O206" s="2">
        <v>2896</v>
      </c>
      <c r="P206" s="2">
        <v>5.4</v>
      </c>
      <c r="Q206" s="4">
        <v>91.96</v>
      </c>
      <c r="R206" s="5">
        <v>1134.8399999999999</v>
      </c>
      <c r="S206" s="5">
        <v>104359.89</v>
      </c>
      <c r="T206" s="6">
        <v>4.3299999999999998E-2</v>
      </c>
      <c r="U206" s="5">
        <v>99841.11</v>
      </c>
      <c r="V206" s="5">
        <v>7832.35</v>
      </c>
      <c r="W206" s="6">
        <v>0.191</v>
      </c>
      <c r="X206" s="5">
        <v>19069.650000000001</v>
      </c>
      <c r="Y206" s="2" t="s">
        <v>83</v>
      </c>
      <c r="Z206" s="2" t="s">
        <v>89</v>
      </c>
      <c r="AA206" s="2" t="s">
        <v>35</v>
      </c>
    </row>
    <row r="207" spans="1:27">
      <c r="A207" s="2" t="s">
        <v>332</v>
      </c>
      <c r="B207" s="3">
        <v>45941</v>
      </c>
      <c r="C207" s="2">
        <v>2025</v>
      </c>
      <c r="D207" s="2" t="s">
        <v>110</v>
      </c>
      <c r="E207" s="2" t="s">
        <v>77</v>
      </c>
      <c r="F207" s="2" t="s">
        <v>50</v>
      </c>
      <c r="G207" s="2" t="s">
        <v>115</v>
      </c>
      <c r="H207" s="2" t="s">
        <v>63</v>
      </c>
      <c r="I207" s="2" t="s">
        <v>32</v>
      </c>
      <c r="J207" s="2" t="s">
        <v>42</v>
      </c>
      <c r="K207" s="2" t="s">
        <v>43</v>
      </c>
      <c r="L207" s="2" t="s">
        <v>44</v>
      </c>
      <c r="M207" s="2" t="s">
        <v>45</v>
      </c>
      <c r="N207" s="2">
        <v>26.33</v>
      </c>
      <c r="O207" s="2">
        <v>27</v>
      </c>
      <c r="P207" s="2">
        <v>8</v>
      </c>
      <c r="Q207" s="4">
        <v>125.11</v>
      </c>
      <c r="R207" s="5">
        <v>720.59</v>
      </c>
      <c r="S207" s="5">
        <v>90153.01</v>
      </c>
      <c r="T207" s="6">
        <v>3.1899999999999998E-2</v>
      </c>
      <c r="U207" s="5">
        <v>87277.13</v>
      </c>
      <c r="V207" s="5">
        <v>3648.13</v>
      </c>
      <c r="W207" s="6">
        <v>0.26750000000000002</v>
      </c>
      <c r="X207" s="5">
        <v>23346.63</v>
      </c>
      <c r="Y207" s="2" t="s">
        <v>56</v>
      </c>
      <c r="Z207" s="2" t="s">
        <v>125</v>
      </c>
      <c r="AA207" s="2" t="s">
        <v>35</v>
      </c>
    </row>
    <row r="208" spans="1:27">
      <c r="A208" s="2" t="s">
        <v>333</v>
      </c>
      <c r="B208" s="3">
        <v>45550</v>
      </c>
      <c r="C208" s="2">
        <v>2024</v>
      </c>
      <c r="D208" s="2" t="s">
        <v>37</v>
      </c>
      <c r="E208" s="2" t="s">
        <v>28</v>
      </c>
      <c r="F208" s="2" t="s">
        <v>29</v>
      </c>
      <c r="G208" s="2" t="s">
        <v>95</v>
      </c>
      <c r="H208" s="2" t="s">
        <v>73</v>
      </c>
      <c r="I208" s="2" t="s">
        <v>93</v>
      </c>
      <c r="J208" s="2" t="s">
        <v>42</v>
      </c>
      <c r="K208" s="2" t="s">
        <v>43</v>
      </c>
      <c r="L208" s="2" t="s">
        <v>44</v>
      </c>
      <c r="M208" s="2" t="s">
        <v>124</v>
      </c>
      <c r="N208" s="2">
        <v>17.36</v>
      </c>
      <c r="O208" s="2">
        <v>35</v>
      </c>
      <c r="P208" s="2">
        <v>7</v>
      </c>
      <c r="Q208" s="4">
        <v>193.79</v>
      </c>
      <c r="R208" s="5">
        <v>696.41</v>
      </c>
      <c r="S208" s="5">
        <v>134957.29</v>
      </c>
      <c r="T208" s="6">
        <v>4.9599999999999998E-2</v>
      </c>
      <c r="U208" s="5">
        <v>128263.41</v>
      </c>
      <c r="V208" s="5">
        <v>5397.25</v>
      </c>
      <c r="W208" s="6">
        <v>0.1346</v>
      </c>
      <c r="X208" s="5">
        <v>17264.25</v>
      </c>
      <c r="Y208" s="2" t="s">
        <v>69</v>
      </c>
      <c r="Z208" s="2" t="s">
        <v>34</v>
      </c>
      <c r="AA208" s="2" t="s">
        <v>35</v>
      </c>
    </row>
    <row r="209" spans="1:27">
      <c r="A209" s="2" t="s">
        <v>334</v>
      </c>
      <c r="B209" s="3">
        <v>45438</v>
      </c>
      <c r="C209" s="2">
        <v>2024</v>
      </c>
      <c r="D209" s="2" t="s">
        <v>81</v>
      </c>
      <c r="E209" s="2" t="s">
        <v>49</v>
      </c>
      <c r="F209" s="2" t="s">
        <v>118</v>
      </c>
      <c r="G209" s="2" t="s">
        <v>121</v>
      </c>
      <c r="H209" s="2" t="s">
        <v>40</v>
      </c>
      <c r="I209" s="2" t="s">
        <v>116</v>
      </c>
      <c r="J209" s="2" t="s">
        <v>42</v>
      </c>
      <c r="K209" s="2" t="s">
        <v>43</v>
      </c>
      <c r="L209" s="2" t="s">
        <v>44</v>
      </c>
      <c r="M209" s="2" t="s">
        <v>124</v>
      </c>
      <c r="N209" s="2">
        <v>16.29</v>
      </c>
      <c r="O209" s="2">
        <v>10</v>
      </c>
      <c r="P209" s="2">
        <v>7.6</v>
      </c>
      <c r="Q209" s="4">
        <v>513.91999999999996</v>
      </c>
      <c r="R209" s="5">
        <v>774.34</v>
      </c>
      <c r="S209" s="5">
        <v>397948.81</v>
      </c>
      <c r="T209" s="6">
        <v>6.6699999999999995E-2</v>
      </c>
      <c r="U209" s="5">
        <v>371405.62</v>
      </c>
      <c r="V209" s="5">
        <v>35883.730000000003</v>
      </c>
      <c r="W209" s="6">
        <v>0.1079</v>
      </c>
      <c r="X209" s="5">
        <v>40074.67</v>
      </c>
      <c r="Y209" s="2" t="s">
        <v>75</v>
      </c>
      <c r="Z209" s="2" t="s">
        <v>125</v>
      </c>
      <c r="AA209" s="2" t="s">
        <v>35</v>
      </c>
    </row>
    <row r="210" spans="1:27">
      <c r="A210" s="2" t="s">
        <v>335</v>
      </c>
      <c r="B210" s="3">
        <v>45536</v>
      </c>
      <c r="C210" s="2">
        <v>2024</v>
      </c>
      <c r="D210" s="2" t="s">
        <v>37</v>
      </c>
      <c r="E210" s="2" t="s">
        <v>28</v>
      </c>
      <c r="F210" s="2" t="s">
        <v>118</v>
      </c>
      <c r="G210" s="2" t="s">
        <v>155</v>
      </c>
      <c r="H210" s="2" t="s">
        <v>63</v>
      </c>
      <c r="I210" s="2" t="s">
        <v>52</v>
      </c>
      <c r="J210" s="2" t="s">
        <v>65</v>
      </c>
      <c r="K210" s="2" t="s">
        <v>66</v>
      </c>
      <c r="L210" s="2" t="s">
        <v>67</v>
      </c>
      <c r="M210" s="2" t="s">
        <v>152</v>
      </c>
      <c r="N210" s="2">
        <v>11.77</v>
      </c>
      <c r="O210" s="2">
        <v>288</v>
      </c>
      <c r="P210" s="2">
        <v>8.4</v>
      </c>
      <c r="Q210" s="4">
        <v>99.25</v>
      </c>
      <c r="R210" s="5">
        <v>1477.88</v>
      </c>
      <c r="S210" s="5">
        <v>146679.59</v>
      </c>
      <c r="T210" s="6">
        <v>3.9899999999999998E-2</v>
      </c>
      <c r="U210" s="5">
        <v>140827.07</v>
      </c>
      <c r="V210" s="5">
        <v>3905.35</v>
      </c>
      <c r="W210" s="6">
        <v>0.1767</v>
      </c>
      <c r="X210" s="5">
        <v>24884.14</v>
      </c>
      <c r="Y210" s="2" t="s">
        <v>83</v>
      </c>
      <c r="Z210" s="2" t="s">
        <v>89</v>
      </c>
      <c r="AA210" s="2" t="s">
        <v>35</v>
      </c>
    </row>
    <row r="211" spans="1:27">
      <c r="A211" s="2" t="s">
        <v>336</v>
      </c>
      <c r="B211" s="3">
        <v>45786</v>
      </c>
      <c r="C211" s="2">
        <v>2025</v>
      </c>
      <c r="D211" s="2" t="s">
        <v>81</v>
      </c>
      <c r="E211" s="2" t="s">
        <v>49</v>
      </c>
      <c r="F211" s="2" t="s">
        <v>61</v>
      </c>
      <c r="G211" s="2" t="s">
        <v>62</v>
      </c>
      <c r="H211" s="2" t="s">
        <v>73</v>
      </c>
      <c r="I211" s="2" t="s">
        <v>88</v>
      </c>
      <c r="J211" s="2" t="s">
        <v>65</v>
      </c>
      <c r="K211" s="2" t="s">
        <v>100</v>
      </c>
      <c r="L211" s="2" t="s">
        <v>101</v>
      </c>
      <c r="M211" s="2" t="s">
        <v>102</v>
      </c>
      <c r="N211" s="2">
        <v>9.9700000000000006</v>
      </c>
      <c r="O211" s="2">
        <v>243</v>
      </c>
      <c r="P211" s="2">
        <v>7.2</v>
      </c>
      <c r="Q211" s="4">
        <v>106.37</v>
      </c>
      <c r="R211" s="5">
        <v>1428.59</v>
      </c>
      <c r="S211" s="5">
        <v>151959.12</v>
      </c>
      <c r="T211" s="6">
        <v>3.1899999999999998E-2</v>
      </c>
      <c r="U211" s="5">
        <v>147111.62</v>
      </c>
      <c r="V211" s="5">
        <v>2047.74</v>
      </c>
      <c r="W211" s="6">
        <v>0.12759999999999999</v>
      </c>
      <c r="X211" s="5">
        <v>18771.439999999999</v>
      </c>
      <c r="Y211" s="2" t="s">
        <v>56</v>
      </c>
      <c r="Z211" s="2" t="s">
        <v>46</v>
      </c>
      <c r="AA211" s="2" t="s">
        <v>35</v>
      </c>
    </row>
    <row r="212" spans="1:27">
      <c r="A212" s="2" t="s">
        <v>337</v>
      </c>
      <c r="B212" s="3">
        <v>45548</v>
      </c>
      <c r="C212" s="2">
        <v>2024</v>
      </c>
      <c r="D212" s="2" t="s">
        <v>37</v>
      </c>
      <c r="E212" s="2" t="s">
        <v>28</v>
      </c>
      <c r="F212" s="2" t="s">
        <v>118</v>
      </c>
      <c r="G212" s="2" t="s">
        <v>121</v>
      </c>
      <c r="H212" s="2" t="s">
        <v>73</v>
      </c>
      <c r="I212" s="2" t="s">
        <v>93</v>
      </c>
      <c r="J212" s="2" t="s">
        <v>65</v>
      </c>
      <c r="K212" s="2" t="s">
        <v>66</v>
      </c>
      <c r="L212" s="2" t="s">
        <v>67</v>
      </c>
      <c r="M212" s="2" t="s">
        <v>140</v>
      </c>
      <c r="N212" s="2">
        <v>7.41</v>
      </c>
      <c r="O212" s="2">
        <v>111</v>
      </c>
      <c r="P212" s="2">
        <v>3.8</v>
      </c>
      <c r="Q212" s="4">
        <v>117.8</v>
      </c>
      <c r="R212" s="5">
        <v>1255.5</v>
      </c>
      <c r="S212" s="5">
        <v>147897.9</v>
      </c>
      <c r="T212" s="6">
        <v>2.58E-2</v>
      </c>
      <c r="U212" s="5">
        <v>144082.13</v>
      </c>
      <c r="V212" s="5">
        <v>2806.8</v>
      </c>
      <c r="W212" s="6">
        <v>0.21560000000000001</v>
      </c>
      <c r="X212" s="5">
        <v>31064.11</v>
      </c>
      <c r="Y212" s="2" t="s">
        <v>83</v>
      </c>
      <c r="Z212" s="2" t="s">
        <v>89</v>
      </c>
      <c r="AA212" s="2" t="s">
        <v>35</v>
      </c>
    </row>
    <row r="213" spans="1:27">
      <c r="A213" s="2" t="s">
        <v>338</v>
      </c>
      <c r="B213" s="3">
        <v>45695</v>
      </c>
      <c r="C213" s="2">
        <v>2025</v>
      </c>
      <c r="D213" s="2" t="s">
        <v>113</v>
      </c>
      <c r="E213" s="2" t="s">
        <v>60</v>
      </c>
      <c r="F213" s="2" t="s">
        <v>38</v>
      </c>
      <c r="G213" s="2" t="s">
        <v>39</v>
      </c>
      <c r="H213" s="2" t="s">
        <v>40</v>
      </c>
      <c r="I213" s="2" t="s">
        <v>52</v>
      </c>
      <c r="J213" s="2" t="s">
        <v>127</v>
      </c>
      <c r="K213" s="2" t="s">
        <v>54</v>
      </c>
      <c r="L213" s="2" t="s">
        <v>54</v>
      </c>
      <c r="M213" s="2" t="s">
        <v>55</v>
      </c>
      <c r="N213" s="2">
        <v>30.23</v>
      </c>
      <c r="O213" s="2">
        <v>1746</v>
      </c>
      <c r="P213" s="2">
        <v>10.199999999999999</v>
      </c>
      <c r="Q213" s="4">
        <v>204.27</v>
      </c>
      <c r="R213" s="5">
        <v>1151.5999999999999</v>
      </c>
      <c r="S213" s="5">
        <v>235237.33</v>
      </c>
      <c r="T213" s="6">
        <v>3.5799999999999998E-2</v>
      </c>
      <c r="U213" s="5">
        <v>226815.83</v>
      </c>
      <c r="V213" s="5">
        <v>17035.599999999999</v>
      </c>
      <c r="W213" s="6">
        <v>0.24629999999999999</v>
      </c>
      <c r="X213" s="5">
        <v>55864.74</v>
      </c>
      <c r="Y213" s="2" t="s">
        <v>83</v>
      </c>
      <c r="Z213" s="2" t="s">
        <v>70</v>
      </c>
      <c r="AA213" s="2" t="s">
        <v>35</v>
      </c>
    </row>
    <row r="214" spans="1:27">
      <c r="A214" s="2" t="s">
        <v>339</v>
      </c>
      <c r="B214" s="3">
        <v>45538</v>
      </c>
      <c r="C214" s="2">
        <v>2024</v>
      </c>
      <c r="D214" s="2" t="s">
        <v>37</v>
      </c>
      <c r="E214" s="2" t="s">
        <v>28</v>
      </c>
      <c r="F214" s="2" t="s">
        <v>38</v>
      </c>
      <c r="G214" s="2" t="s">
        <v>39</v>
      </c>
      <c r="H214" s="2" t="s">
        <v>63</v>
      </c>
      <c r="I214" s="2" t="s">
        <v>52</v>
      </c>
      <c r="J214" s="2" t="s">
        <v>79</v>
      </c>
      <c r="K214" s="2" t="s">
        <v>100</v>
      </c>
      <c r="L214" s="2" t="s">
        <v>101</v>
      </c>
      <c r="M214" s="2" t="s">
        <v>129</v>
      </c>
      <c r="N214" s="2">
        <v>6.09</v>
      </c>
      <c r="O214" s="2">
        <v>492</v>
      </c>
      <c r="P214" s="2">
        <v>8.6999999999999993</v>
      </c>
      <c r="Q214" s="4">
        <v>160.16999999999999</v>
      </c>
      <c r="R214" s="5">
        <v>1159.72</v>
      </c>
      <c r="S214" s="5">
        <v>185752.35</v>
      </c>
      <c r="T214" s="6">
        <v>1.8700000000000001E-2</v>
      </c>
      <c r="U214" s="5">
        <v>182278.78</v>
      </c>
      <c r="V214" s="5">
        <v>4797.8100000000004</v>
      </c>
      <c r="W214" s="6">
        <v>0.23549999999999999</v>
      </c>
      <c r="X214" s="5">
        <v>42926.65</v>
      </c>
      <c r="Y214" s="2" t="s">
        <v>75</v>
      </c>
      <c r="Z214" s="2" t="s">
        <v>34</v>
      </c>
      <c r="AA214" s="2" t="s">
        <v>35</v>
      </c>
    </row>
    <row r="215" spans="1:27">
      <c r="A215" s="2" t="s">
        <v>340</v>
      </c>
      <c r="B215" s="3">
        <v>45470</v>
      </c>
      <c r="C215" s="2">
        <v>2024</v>
      </c>
      <c r="D215" s="2" t="s">
        <v>91</v>
      </c>
      <c r="E215" s="2" t="s">
        <v>49</v>
      </c>
      <c r="F215" s="2" t="s">
        <v>61</v>
      </c>
      <c r="G215" s="2" t="s">
        <v>62</v>
      </c>
      <c r="H215" s="2" t="s">
        <v>73</v>
      </c>
      <c r="I215" s="2" t="s">
        <v>41</v>
      </c>
      <c r="J215" s="2" t="s">
        <v>79</v>
      </c>
      <c r="K215" s="2" t="s">
        <v>43</v>
      </c>
      <c r="L215" s="2" t="s">
        <v>44</v>
      </c>
      <c r="M215" s="2" t="s">
        <v>124</v>
      </c>
      <c r="N215" s="2">
        <v>16.18</v>
      </c>
      <c r="O215" s="2">
        <v>22</v>
      </c>
      <c r="P215" s="2">
        <v>8.3000000000000007</v>
      </c>
      <c r="Q215" s="4">
        <v>237.66</v>
      </c>
      <c r="R215" s="5">
        <v>827.36</v>
      </c>
      <c r="S215" s="5">
        <v>196630.38</v>
      </c>
      <c r="T215" s="6">
        <v>4.1099999999999998E-2</v>
      </c>
      <c r="U215" s="5">
        <v>188548.87</v>
      </c>
      <c r="V215" s="5">
        <v>8016.67</v>
      </c>
      <c r="W215" s="6">
        <v>0.18079999999999999</v>
      </c>
      <c r="X215" s="5">
        <v>34089.64</v>
      </c>
      <c r="Y215" s="2" t="s">
        <v>69</v>
      </c>
      <c r="Z215" s="2" t="s">
        <v>80</v>
      </c>
      <c r="AA215" s="2" t="s">
        <v>35</v>
      </c>
    </row>
    <row r="216" spans="1:27">
      <c r="A216" s="2" t="s">
        <v>341</v>
      </c>
      <c r="B216" s="3">
        <v>45743</v>
      </c>
      <c r="C216" s="2">
        <v>2025</v>
      </c>
      <c r="D216" s="2" t="s">
        <v>59</v>
      </c>
      <c r="E216" s="2" t="s">
        <v>60</v>
      </c>
      <c r="F216" s="2" t="s">
        <v>50</v>
      </c>
      <c r="G216" s="2" t="s">
        <v>115</v>
      </c>
      <c r="H216" s="2" t="s">
        <v>63</v>
      </c>
      <c r="I216" s="2" t="s">
        <v>88</v>
      </c>
      <c r="J216" s="2" t="s">
        <v>42</v>
      </c>
      <c r="K216" s="2" t="s">
        <v>100</v>
      </c>
      <c r="L216" s="2" t="s">
        <v>101</v>
      </c>
      <c r="M216" s="2" t="s">
        <v>108</v>
      </c>
      <c r="N216" s="2">
        <v>9.85</v>
      </c>
      <c r="O216" s="2">
        <v>409</v>
      </c>
      <c r="P216" s="2">
        <v>5.2</v>
      </c>
      <c r="Q216" s="4">
        <v>113.88</v>
      </c>
      <c r="R216" s="5">
        <v>1288.55</v>
      </c>
      <c r="S216" s="5">
        <v>146740.07</v>
      </c>
      <c r="T216" s="6">
        <v>2.3E-2</v>
      </c>
      <c r="U216" s="5">
        <v>143365.04999999999</v>
      </c>
      <c r="V216" s="5">
        <v>4043.45</v>
      </c>
      <c r="W216" s="6">
        <v>0.1321</v>
      </c>
      <c r="X216" s="5">
        <v>18938.52</v>
      </c>
      <c r="Y216" s="2" t="s">
        <v>56</v>
      </c>
      <c r="Z216" s="2" t="s">
        <v>70</v>
      </c>
      <c r="AA216" s="2" t="s">
        <v>35</v>
      </c>
    </row>
    <row r="217" spans="1:27">
      <c r="A217" s="2" t="s">
        <v>342</v>
      </c>
      <c r="B217" s="3">
        <v>45894</v>
      </c>
      <c r="C217" s="2">
        <v>2025</v>
      </c>
      <c r="D217" s="2" t="s">
        <v>27</v>
      </c>
      <c r="E217" s="2" t="s">
        <v>28</v>
      </c>
      <c r="F217" s="2" t="s">
        <v>38</v>
      </c>
      <c r="G217" s="2" t="s">
        <v>39</v>
      </c>
      <c r="H217" s="2" t="s">
        <v>73</v>
      </c>
      <c r="I217" s="2" t="s">
        <v>64</v>
      </c>
      <c r="J217" s="2" t="s">
        <v>65</v>
      </c>
      <c r="K217" s="2" t="s">
        <v>100</v>
      </c>
      <c r="L217" s="2" t="s">
        <v>101</v>
      </c>
      <c r="M217" s="2" t="s">
        <v>145</v>
      </c>
      <c r="N217" s="2">
        <v>8.9</v>
      </c>
      <c r="O217" s="2">
        <v>527</v>
      </c>
      <c r="P217" s="2">
        <v>5.0999999999999996</v>
      </c>
      <c r="Q217" s="4">
        <v>13.91</v>
      </c>
      <c r="R217" s="5">
        <v>1138.77</v>
      </c>
      <c r="S217" s="5">
        <v>15840.29</v>
      </c>
      <c r="T217" s="6">
        <v>3.6700000000000003E-2</v>
      </c>
      <c r="U217" s="5">
        <v>15258.95</v>
      </c>
      <c r="V217" s="5">
        <v>276.05</v>
      </c>
      <c r="W217" s="6">
        <v>0.15310000000000001</v>
      </c>
      <c r="X217" s="5">
        <v>2336.15</v>
      </c>
      <c r="Y217" s="2" t="s">
        <v>83</v>
      </c>
      <c r="Z217" s="2" t="s">
        <v>106</v>
      </c>
      <c r="AA217" s="2" t="s">
        <v>35</v>
      </c>
    </row>
    <row r="218" spans="1:27">
      <c r="A218" s="2" t="s">
        <v>343</v>
      </c>
      <c r="B218" s="3">
        <v>45996</v>
      </c>
      <c r="C218" s="2">
        <v>2025</v>
      </c>
      <c r="D218" s="2" t="s">
        <v>97</v>
      </c>
      <c r="E218" s="2" t="s">
        <v>77</v>
      </c>
      <c r="F218" s="2" t="s">
        <v>98</v>
      </c>
      <c r="G218" s="2" t="s">
        <v>137</v>
      </c>
      <c r="H218" s="2" t="s">
        <v>73</v>
      </c>
      <c r="I218" s="2" t="s">
        <v>93</v>
      </c>
      <c r="J218" s="2" t="s">
        <v>79</v>
      </c>
      <c r="K218" s="2" t="s">
        <v>100</v>
      </c>
      <c r="L218" s="2" t="s">
        <v>101</v>
      </c>
      <c r="M218" s="2" t="s">
        <v>102</v>
      </c>
      <c r="N218" s="2">
        <v>10.77</v>
      </c>
      <c r="O218" s="2">
        <v>594</v>
      </c>
      <c r="P218" s="2">
        <v>9.6999999999999993</v>
      </c>
      <c r="Q218" s="4">
        <v>152.68</v>
      </c>
      <c r="R218" s="5">
        <v>1235.79</v>
      </c>
      <c r="S218" s="5">
        <v>188680.42</v>
      </c>
      <c r="T218" s="6">
        <v>2.1700000000000001E-2</v>
      </c>
      <c r="U218" s="5">
        <v>184586.05</v>
      </c>
      <c r="V218" s="5">
        <v>4311.5600000000004</v>
      </c>
      <c r="W218" s="6">
        <v>0.23380000000000001</v>
      </c>
      <c r="X218" s="5">
        <v>43156.22</v>
      </c>
      <c r="Y218" s="2" t="s">
        <v>56</v>
      </c>
      <c r="Z218" s="2" t="s">
        <v>57</v>
      </c>
      <c r="AA218" s="2" t="s">
        <v>35</v>
      </c>
    </row>
    <row r="219" spans="1:27">
      <c r="A219" s="2" t="s">
        <v>344</v>
      </c>
      <c r="B219" s="3">
        <v>45680</v>
      </c>
      <c r="C219" s="2">
        <v>2025</v>
      </c>
      <c r="D219" s="2" t="s">
        <v>71</v>
      </c>
      <c r="E219" s="2" t="s">
        <v>60</v>
      </c>
      <c r="F219" s="2" t="s">
        <v>98</v>
      </c>
      <c r="G219" s="2" t="s">
        <v>99</v>
      </c>
      <c r="H219" s="2" t="s">
        <v>73</v>
      </c>
      <c r="I219" s="2" t="s">
        <v>41</v>
      </c>
      <c r="J219" s="2" t="s">
        <v>65</v>
      </c>
      <c r="K219" s="2" t="s">
        <v>66</v>
      </c>
      <c r="L219" s="2" t="s">
        <v>67</v>
      </c>
      <c r="M219" s="2" t="s">
        <v>140</v>
      </c>
      <c r="N219" s="2">
        <v>13.75</v>
      </c>
      <c r="O219" s="2">
        <v>223</v>
      </c>
      <c r="P219" s="2">
        <v>5.8</v>
      </c>
      <c r="Q219" s="4">
        <v>58.06</v>
      </c>
      <c r="R219" s="5">
        <v>1398.13</v>
      </c>
      <c r="S219" s="5">
        <v>81175.429999999993</v>
      </c>
      <c r="T219" s="6">
        <v>5.5399999999999998E-2</v>
      </c>
      <c r="U219" s="5">
        <v>76678.31</v>
      </c>
      <c r="V219" s="5">
        <v>1409.92</v>
      </c>
      <c r="W219" s="6">
        <v>0.2132</v>
      </c>
      <c r="X219" s="5">
        <v>16347.82</v>
      </c>
      <c r="Y219" s="2" t="s">
        <v>69</v>
      </c>
      <c r="Z219" s="2" t="s">
        <v>46</v>
      </c>
      <c r="AA219" s="2" t="s">
        <v>35</v>
      </c>
    </row>
    <row r="220" spans="1:27">
      <c r="A220" s="2" t="s">
        <v>345</v>
      </c>
      <c r="B220" s="3">
        <v>45354</v>
      </c>
      <c r="C220" s="2">
        <v>2024</v>
      </c>
      <c r="D220" s="2" t="s">
        <v>59</v>
      </c>
      <c r="E220" s="2" t="s">
        <v>60</v>
      </c>
      <c r="F220" s="2" t="s">
        <v>61</v>
      </c>
      <c r="G220" s="2" t="s">
        <v>114</v>
      </c>
      <c r="H220" s="2" t="s">
        <v>40</v>
      </c>
      <c r="I220" s="2" t="s">
        <v>93</v>
      </c>
      <c r="J220" s="2" t="s">
        <v>42</v>
      </c>
      <c r="K220" s="2" t="s">
        <v>100</v>
      </c>
      <c r="L220" s="2" t="s">
        <v>101</v>
      </c>
      <c r="M220" s="2" t="s">
        <v>102</v>
      </c>
      <c r="N220" s="2">
        <v>14.47</v>
      </c>
      <c r="O220" s="2">
        <v>257</v>
      </c>
      <c r="P220" s="2">
        <v>9.1999999999999993</v>
      </c>
      <c r="Q220" s="4">
        <v>165.89</v>
      </c>
      <c r="R220" s="5">
        <v>1378.88</v>
      </c>
      <c r="S220" s="5">
        <v>228742.39999999999</v>
      </c>
      <c r="T220" s="6">
        <v>3.2399999999999998E-2</v>
      </c>
      <c r="U220" s="5">
        <v>221331.15</v>
      </c>
      <c r="V220" s="5">
        <v>10557.89</v>
      </c>
      <c r="W220" s="6">
        <v>0.11890000000000001</v>
      </c>
      <c r="X220" s="5">
        <v>26316.27</v>
      </c>
      <c r="Y220" s="2" t="s">
        <v>56</v>
      </c>
      <c r="Z220" s="2" t="s">
        <v>34</v>
      </c>
      <c r="AA220" s="2" t="s">
        <v>35</v>
      </c>
    </row>
    <row r="221" spans="1:27">
      <c r="A221" s="2" t="s">
        <v>346</v>
      </c>
      <c r="B221" s="3">
        <v>45926</v>
      </c>
      <c r="C221" s="2">
        <v>2025</v>
      </c>
      <c r="D221" s="2" t="s">
        <v>37</v>
      </c>
      <c r="E221" s="2" t="s">
        <v>28</v>
      </c>
      <c r="F221" s="2" t="s">
        <v>29</v>
      </c>
      <c r="G221" s="2" t="s">
        <v>78</v>
      </c>
      <c r="H221" s="2" t="s">
        <v>63</v>
      </c>
      <c r="I221" s="2" t="s">
        <v>88</v>
      </c>
      <c r="J221" s="2" t="s">
        <v>79</v>
      </c>
      <c r="K221" s="2" t="s">
        <v>43</v>
      </c>
      <c r="L221" s="2" t="s">
        <v>44</v>
      </c>
      <c r="M221" s="2" t="s">
        <v>124</v>
      </c>
      <c r="N221" s="2">
        <v>17.98</v>
      </c>
      <c r="O221" s="2">
        <v>15</v>
      </c>
      <c r="P221" s="2">
        <v>9.9</v>
      </c>
      <c r="Q221" s="4">
        <v>211.74</v>
      </c>
      <c r="R221" s="5">
        <v>724.99</v>
      </c>
      <c r="S221" s="5">
        <v>153509.38</v>
      </c>
      <c r="T221" s="6">
        <v>1.8700000000000001E-2</v>
      </c>
      <c r="U221" s="5">
        <v>150638.75</v>
      </c>
      <c r="V221" s="5">
        <v>3874.52</v>
      </c>
      <c r="W221" s="6">
        <v>0.11169999999999999</v>
      </c>
      <c r="X221" s="5">
        <v>16826.349999999999</v>
      </c>
      <c r="Y221" s="2" t="s">
        <v>56</v>
      </c>
      <c r="Z221" s="2" t="s">
        <v>80</v>
      </c>
      <c r="AA221" s="2" t="s">
        <v>35</v>
      </c>
    </row>
    <row r="222" spans="1:27">
      <c r="A222" s="2" t="s">
        <v>347</v>
      </c>
      <c r="B222" s="3">
        <v>45986</v>
      </c>
      <c r="C222" s="2">
        <v>2025</v>
      </c>
      <c r="D222" s="2" t="s">
        <v>76</v>
      </c>
      <c r="E222" s="2" t="s">
        <v>77</v>
      </c>
      <c r="F222" s="2" t="s">
        <v>29</v>
      </c>
      <c r="G222" s="2" t="s">
        <v>95</v>
      </c>
      <c r="H222" s="2" t="s">
        <v>73</v>
      </c>
      <c r="I222" s="2" t="s">
        <v>32</v>
      </c>
      <c r="J222" s="2" t="s">
        <v>42</v>
      </c>
      <c r="K222" s="2" t="s">
        <v>100</v>
      </c>
      <c r="L222" s="2" t="s">
        <v>101</v>
      </c>
      <c r="M222" s="2" t="s">
        <v>102</v>
      </c>
      <c r="N222" s="2">
        <v>4.43</v>
      </c>
      <c r="O222" s="2">
        <v>475</v>
      </c>
      <c r="P222" s="2">
        <v>9.6</v>
      </c>
      <c r="Q222" s="4">
        <v>86.55</v>
      </c>
      <c r="R222" s="5">
        <v>1194.32</v>
      </c>
      <c r="S222" s="5">
        <v>103368.4</v>
      </c>
      <c r="T222" s="6">
        <v>4.41E-2</v>
      </c>
      <c r="U222" s="5">
        <v>98809.85</v>
      </c>
      <c r="V222" s="5">
        <v>2854.82</v>
      </c>
      <c r="W222" s="6">
        <v>0.2324</v>
      </c>
      <c r="X222" s="5">
        <v>22963.41</v>
      </c>
      <c r="Y222" s="2" t="s">
        <v>83</v>
      </c>
      <c r="Z222" s="2" t="s">
        <v>106</v>
      </c>
      <c r="AA222" s="2" t="s">
        <v>35</v>
      </c>
    </row>
    <row r="223" spans="1:27">
      <c r="A223" s="2" t="s">
        <v>348</v>
      </c>
      <c r="B223" s="3">
        <v>45952</v>
      </c>
      <c r="C223" s="2">
        <v>2025</v>
      </c>
      <c r="D223" s="2" t="s">
        <v>110</v>
      </c>
      <c r="E223" s="2" t="s">
        <v>77</v>
      </c>
      <c r="F223" s="2" t="s">
        <v>50</v>
      </c>
      <c r="G223" s="2" t="s">
        <v>105</v>
      </c>
      <c r="H223" s="2" t="s">
        <v>31</v>
      </c>
      <c r="I223" s="2" t="s">
        <v>52</v>
      </c>
      <c r="J223" s="2" t="s">
        <v>79</v>
      </c>
      <c r="K223" s="2" t="s">
        <v>43</v>
      </c>
      <c r="L223" s="2" t="s">
        <v>44</v>
      </c>
      <c r="M223" s="2" t="s">
        <v>171</v>
      </c>
      <c r="N223" s="2">
        <v>9.18</v>
      </c>
      <c r="O223" s="2">
        <v>32</v>
      </c>
      <c r="P223" s="2">
        <v>6.9</v>
      </c>
      <c r="Q223" s="4">
        <v>579.08000000000004</v>
      </c>
      <c r="R223" s="5">
        <v>761.15</v>
      </c>
      <c r="S223" s="5">
        <v>440766.74</v>
      </c>
      <c r="T223" s="6">
        <v>3.2599999999999997E-2</v>
      </c>
      <c r="U223" s="5">
        <v>426397.74</v>
      </c>
      <c r="V223" s="5">
        <v>45349.46</v>
      </c>
      <c r="W223" s="6">
        <v>0.152</v>
      </c>
      <c r="X223" s="5">
        <v>64812.46</v>
      </c>
      <c r="Y223" s="2" t="s">
        <v>56</v>
      </c>
      <c r="Z223" s="2" t="s">
        <v>57</v>
      </c>
      <c r="AA223" s="2" t="s">
        <v>35</v>
      </c>
    </row>
    <row r="224" spans="1:27">
      <c r="A224" s="2" t="s">
        <v>349</v>
      </c>
      <c r="B224" s="3">
        <v>45813</v>
      </c>
      <c r="C224" s="2">
        <v>2025</v>
      </c>
      <c r="D224" s="2" t="s">
        <v>91</v>
      </c>
      <c r="E224" s="2" t="s">
        <v>49</v>
      </c>
      <c r="F224" s="2" t="s">
        <v>118</v>
      </c>
      <c r="G224" s="2" t="s">
        <v>119</v>
      </c>
      <c r="H224" s="2" t="s">
        <v>63</v>
      </c>
      <c r="I224" s="2" t="s">
        <v>32</v>
      </c>
      <c r="J224" s="2" t="s">
        <v>65</v>
      </c>
      <c r="K224" s="2" t="s">
        <v>100</v>
      </c>
      <c r="L224" s="2" t="s">
        <v>101</v>
      </c>
      <c r="M224" s="2" t="s">
        <v>129</v>
      </c>
      <c r="N224" s="2">
        <v>15.46</v>
      </c>
      <c r="O224" s="2">
        <v>537</v>
      </c>
      <c r="P224" s="2">
        <v>10.3</v>
      </c>
      <c r="Q224" s="4">
        <v>169.51</v>
      </c>
      <c r="R224" s="5">
        <v>1094.52</v>
      </c>
      <c r="S224" s="5">
        <v>185532.09</v>
      </c>
      <c r="T224" s="6">
        <v>3.4599999999999999E-2</v>
      </c>
      <c r="U224" s="5">
        <v>179112.68</v>
      </c>
      <c r="V224" s="5">
        <v>5184.28</v>
      </c>
      <c r="W224" s="6">
        <v>0.14779999999999999</v>
      </c>
      <c r="X224" s="5">
        <v>26472.85</v>
      </c>
      <c r="Y224" s="2" t="s">
        <v>33</v>
      </c>
      <c r="Z224" s="2" t="s">
        <v>80</v>
      </c>
      <c r="AA224" s="2" t="s">
        <v>35</v>
      </c>
    </row>
    <row r="225" spans="1:27">
      <c r="A225" s="2" t="s">
        <v>350</v>
      </c>
      <c r="B225" s="3">
        <v>46002</v>
      </c>
      <c r="C225" s="2">
        <v>2025</v>
      </c>
      <c r="D225" s="2" t="s">
        <v>97</v>
      </c>
      <c r="E225" s="2" t="s">
        <v>77</v>
      </c>
      <c r="F225" s="2" t="s">
        <v>38</v>
      </c>
      <c r="G225" s="2" t="s">
        <v>72</v>
      </c>
      <c r="H225" s="2" t="s">
        <v>40</v>
      </c>
      <c r="I225" s="2" t="s">
        <v>52</v>
      </c>
      <c r="J225" s="2" t="s">
        <v>127</v>
      </c>
      <c r="K225" s="2" t="s">
        <v>54</v>
      </c>
      <c r="L225" s="2" t="s">
        <v>54</v>
      </c>
      <c r="M225" s="2" t="s">
        <v>55</v>
      </c>
      <c r="N225" s="2">
        <v>50.27</v>
      </c>
      <c r="O225" s="2">
        <v>1417</v>
      </c>
      <c r="P225" s="2">
        <v>4.5</v>
      </c>
      <c r="Q225" s="4">
        <v>168.24</v>
      </c>
      <c r="R225" s="5">
        <v>1182</v>
      </c>
      <c r="S225" s="5">
        <v>198859.68</v>
      </c>
      <c r="T225" s="6">
        <v>2.98E-2</v>
      </c>
      <c r="U225" s="5">
        <v>192933.66</v>
      </c>
      <c r="V225" s="5">
        <v>10939.93</v>
      </c>
      <c r="W225" s="6">
        <v>0.1794</v>
      </c>
      <c r="X225" s="5">
        <v>34612.300000000003</v>
      </c>
      <c r="Y225" s="2" t="s">
        <v>69</v>
      </c>
      <c r="Z225" s="2" t="s">
        <v>34</v>
      </c>
      <c r="AA225" s="2" t="s">
        <v>35</v>
      </c>
    </row>
    <row r="226" spans="1:27">
      <c r="A226" s="2" t="s">
        <v>351</v>
      </c>
      <c r="B226" s="3">
        <v>45869</v>
      </c>
      <c r="C226" s="2">
        <v>2025</v>
      </c>
      <c r="D226" s="2" t="s">
        <v>104</v>
      </c>
      <c r="E226" s="2" t="s">
        <v>28</v>
      </c>
      <c r="F226" s="2" t="s">
        <v>118</v>
      </c>
      <c r="G226" s="2" t="s">
        <v>121</v>
      </c>
      <c r="H226" s="2" t="s">
        <v>40</v>
      </c>
      <c r="I226" s="2" t="s">
        <v>64</v>
      </c>
      <c r="J226" s="2" t="s">
        <v>42</v>
      </c>
      <c r="K226" s="2" t="s">
        <v>100</v>
      </c>
      <c r="L226" s="2" t="s">
        <v>101</v>
      </c>
      <c r="M226" s="2" t="s">
        <v>129</v>
      </c>
      <c r="N226" s="2">
        <v>6.65</v>
      </c>
      <c r="O226" s="2">
        <v>382</v>
      </c>
      <c r="P226" s="2">
        <v>7.7</v>
      </c>
      <c r="Q226" s="4">
        <v>167.51</v>
      </c>
      <c r="R226" s="5">
        <v>1036.18</v>
      </c>
      <c r="S226" s="5">
        <v>173570.51</v>
      </c>
      <c r="T226" s="6">
        <v>3.1399999999999997E-2</v>
      </c>
      <c r="U226" s="5">
        <v>168120.4</v>
      </c>
      <c r="V226" s="5">
        <v>14100.52</v>
      </c>
      <c r="W226" s="6">
        <v>0.21479999999999999</v>
      </c>
      <c r="X226" s="5">
        <v>36112.26</v>
      </c>
      <c r="Y226" s="2" t="s">
        <v>33</v>
      </c>
      <c r="Z226" s="2" t="s">
        <v>57</v>
      </c>
      <c r="AA226" s="2" t="s">
        <v>35</v>
      </c>
    </row>
    <row r="227" spans="1:27">
      <c r="A227" s="2" t="s">
        <v>352</v>
      </c>
      <c r="B227" s="3">
        <v>45741</v>
      </c>
      <c r="C227" s="2">
        <v>2025</v>
      </c>
      <c r="D227" s="2" t="s">
        <v>59</v>
      </c>
      <c r="E227" s="2" t="s">
        <v>60</v>
      </c>
      <c r="F227" s="2" t="s">
        <v>38</v>
      </c>
      <c r="G227" s="2" t="s">
        <v>72</v>
      </c>
      <c r="H227" s="2" t="s">
        <v>63</v>
      </c>
      <c r="I227" s="2" t="s">
        <v>64</v>
      </c>
      <c r="J227" s="2" t="s">
        <v>42</v>
      </c>
      <c r="K227" s="2" t="s">
        <v>100</v>
      </c>
      <c r="L227" s="2" t="s">
        <v>101</v>
      </c>
      <c r="M227" s="2" t="s">
        <v>102</v>
      </c>
      <c r="N227" s="2">
        <v>11.16</v>
      </c>
      <c r="O227" s="2">
        <v>386</v>
      </c>
      <c r="P227" s="2">
        <v>8.1</v>
      </c>
      <c r="Q227" s="4">
        <v>89.66</v>
      </c>
      <c r="R227" s="5">
        <v>1339.99</v>
      </c>
      <c r="S227" s="5">
        <v>120143.5</v>
      </c>
      <c r="T227" s="6">
        <v>2.8000000000000001E-2</v>
      </c>
      <c r="U227" s="5">
        <v>116779.48</v>
      </c>
      <c r="V227" s="5">
        <v>3308.57</v>
      </c>
      <c r="W227" s="6">
        <v>0.17519999999999999</v>
      </c>
      <c r="X227" s="5">
        <v>20459.759999999998</v>
      </c>
      <c r="Y227" s="2" t="s">
        <v>56</v>
      </c>
      <c r="Z227" s="2" t="s">
        <v>46</v>
      </c>
      <c r="AA227" s="2" t="s">
        <v>35</v>
      </c>
    </row>
    <row r="228" spans="1:27">
      <c r="A228" s="2" t="s">
        <v>353</v>
      </c>
      <c r="B228" s="3">
        <v>45652</v>
      </c>
      <c r="C228" s="2">
        <v>2024</v>
      </c>
      <c r="D228" s="2" t="s">
        <v>97</v>
      </c>
      <c r="E228" s="2" t="s">
        <v>77</v>
      </c>
      <c r="F228" s="2" t="s">
        <v>98</v>
      </c>
      <c r="G228" s="2" t="s">
        <v>99</v>
      </c>
      <c r="H228" s="2" t="s">
        <v>63</v>
      </c>
      <c r="I228" s="2" t="s">
        <v>64</v>
      </c>
      <c r="J228" s="2" t="s">
        <v>42</v>
      </c>
      <c r="K228" s="2" t="s">
        <v>43</v>
      </c>
      <c r="L228" s="2" t="s">
        <v>44</v>
      </c>
      <c r="M228" s="2" t="s">
        <v>171</v>
      </c>
      <c r="N228" s="2">
        <v>37.380000000000003</v>
      </c>
      <c r="O228" s="2">
        <v>33</v>
      </c>
      <c r="P228" s="2">
        <v>9.1</v>
      </c>
      <c r="Q228" s="4">
        <v>370.1</v>
      </c>
      <c r="R228" s="5">
        <v>741.9</v>
      </c>
      <c r="S228" s="5">
        <v>274577.19</v>
      </c>
      <c r="T228" s="6">
        <v>3.8899999999999997E-2</v>
      </c>
      <c r="U228" s="5">
        <v>263896.14</v>
      </c>
      <c r="V228" s="5">
        <v>9571.0400000000009</v>
      </c>
      <c r="W228" s="6">
        <v>0.1933</v>
      </c>
      <c r="X228" s="5">
        <v>51011.12</v>
      </c>
      <c r="Y228" s="2" t="s">
        <v>69</v>
      </c>
      <c r="Z228" s="2" t="s">
        <v>106</v>
      </c>
      <c r="AA228" s="2" t="s">
        <v>35</v>
      </c>
    </row>
    <row r="229" spans="1:27">
      <c r="A229" s="2" t="s">
        <v>354</v>
      </c>
      <c r="B229" s="3">
        <v>45450</v>
      </c>
      <c r="C229" s="2">
        <v>2024</v>
      </c>
      <c r="D229" s="2" t="s">
        <v>91</v>
      </c>
      <c r="E229" s="2" t="s">
        <v>49</v>
      </c>
      <c r="F229" s="2" t="s">
        <v>118</v>
      </c>
      <c r="G229" s="2" t="s">
        <v>119</v>
      </c>
      <c r="H229" s="2" t="s">
        <v>31</v>
      </c>
      <c r="I229" s="2" t="s">
        <v>88</v>
      </c>
      <c r="J229" s="2" t="s">
        <v>79</v>
      </c>
      <c r="K229" s="2" t="s">
        <v>43</v>
      </c>
      <c r="L229" s="2" t="s">
        <v>44</v>
      </c>
      <c r="M229" s="2" t="s">
        <v>124</v>
      </c>
      <c r="N229" s="2">
        <v>25.25</v>
      </c>
      <c r="O229" s="2">
        <v>22</v>
      </c>
      <c r="P229" s="2">
        <v>7.4</v>
      </c>
      <c r="Q229" s="4">
        <v>34.479999999999997</v>
      </c>
      <c r="R229" s="5">
        <v>729.39</v>
      </c>
      <c r="S229" s="5">
        <v>25149.37</v>
      </c>
      <c r="T229" s="6">
        <v>5.28E-2</v>
      </c>
      <c r="U229" s="5">
        <v>23821.48</v>
      </c>
      <c r="V229" s="5">
        <v>3106.96</v>
      </c>
      <c r="W229" s="6">
        <v>0.21879999999999999</v>
      </c>
      <c r="X229" s="5">
        <v>5212.1400000000003</v>
      </c>
      <c r="Y229" s="2" t="s">
        <v>83</v>
      </c>
      <c r="Z229" s="2" t="s">
        <v>106</v>
      </c>
      <c r="AA229" s="2" t="s">
        <v>35</v>
      </c>
    </row>
    <row r="230" spans="1:27">
      <c r="A230" s="2" t="s">
        <v>355</v>
      </c>
      <c r="B230" s="3">
        <v>45781</v>
      </c>
      <c r="C230" s="2">
        <v>2025</v>
      </c>
      <c r="D230" s="2" t="s">
        <v>81</v>
      </c>
      <c r="E230" s="2" t="s">
        <v>49</v>
      </c>
      <c r="F230" s="2" t="s">
        <v>38</v>
      </c>
      <c r="G230" s="2" t="s">
        <v>72</v>
      </c>
      <c r="H230" s="2" t="s">
        <v>40</v>
      </c>
      <c r="I230" s="2" t="s">
        <v>74</v>
      </c>
      <c r="J230" s="2" t="s">
        <v>42</v>
      </c>
      <c r="K230" s="2" t="s">
        <v>43</v>
      </c>
      <c r="L230" s="2" t="s">
        <v>44</v>
      </c>
      <c r="M230" s="2" t="s">
        <v>85</v>
      </c>
      <c r="N230" s="2">
        <v>16.87</v>
      </c>
      <c r="O230" s="2">
        <v>37</v>
      </c>
      <c r="P230" s="2">
        <v>8</v>
      </c>
      <c r="Q230" s="4">
        <v>699.83</v>
      </c>
      <c r="R230" s="5">
        <v>725.91</v>
      </c>
      <c r="S230" s="5">
        <v>508013.6</v>
      </c>
      <c r="T230" s="6">
        <v>4.58E-2</v>
      </c>
      <c r="U230" s="5">
        <v>484746.58</v>
      </c>
      <c r="V230" s="5">
        <v>54135.360000000001</v>
      </c>
      <c r="W230" s="6">
        <v>0.16830000000000001</v>
      </c>
      <c r="X230" s="5">
        <v>81582.850000000006</v>
      </c>
      <c r="Y230" s="2" t="s">
        <v>56</v>
      </c>
      <c r="Z230" s="2" t="s">
        <v>80</v>
      </c>
      <c r="AA230" s="2" t="s">
        <v>35</v>
      </c>
    </row>
    <row r="231" spans="1:27">
      <c r="A231" s="2" t="s">
        <v>356</v>
      </c>
      <c r="B231" s="3">
        <v>45750</v>
      </c>
      <c r="C231" s="2">
        <v>2025</v>
      </c>
      <c r="D231" s="2" t="s">
        <v>48</v>
      </c>
      <c r="E231" s="2" t="s">
        <v>49</v>
      </c>
      <c r="F231" s="2" t="s">
        <v>50</v>
      </c>
      <c r="G231" s="2" t="s">
        <v>92</v>
      </c>
      <c r="H231" s="2" t="s">
        <v>40</v>
      </c>
      <c r="I231" s="2" t="s">
        <v>93</v>
      </c>
      <c r="J231" s="2" t="s">
        <v>65</v>
      </c>
      <c r="K231" s="2" t="s">
        <v>66</v>
      </c>
      <c r="L231" s="2" t="s">
        <v>67</v>
      </c>
      <c r="M231" s="2" t="s">
        <v>140</v>
      </c>
      <c r="N231" s="2">
        <v>16.38</v>
      </c>
      <c r="O231" s="2">
        <v>201</v>
      </c>
      <c r="P231" s="2">
        <v>10</v>
      </c>
      <c r="Q231" s="4">
        <v>244.31</v>
      </c>
      <c r="R231" s="5">
        <v>1606.03</v>
      </c>
      <c r="S231" s="5">
        <v>392369.19</v>
      </c>
      <c r="T231" s="6">
        <v>6.1499999999999999E-2</v>
      </c>
      <c r="U231" s="5">
        <v>368238.48</v>
      </c>
      <c r="V231" s="5">
        <v>18846</v>
      </c>
      <c r="W231" s="6">
        <v>0.19350000000000001</v>
      </c>
      <c r="X231" s="5">
        <v>71254.149999999994</v>
      </c>
      <c r="Y231" s="2" t="s">
        <v>75</v>
      </c>
      <c r="Z231" s="2" t="s">
        <v>57</v>
      </c>
      <c r="AA231" s="2" t="s">
        <v>35</v>
      </c>
    </row>
    <row r="232" spans="1:27">
      <c r="A232" s="2" t="s">
        <v>357</v>
      </c>
      <c r="B232" s="3">
        <v>45850</v>
      </c>
      <c r="C232" s="2">
        <v>2025</v>
      </c>
      <c r="D232" s="2" t="s">
        <v>104</v>
      </c>
      <c r="E232" s="2" t="s">
        <v>28</v>
      </c>
      <c r="F232" s="2" t="s">
        <v>50</v>
      </c>
      <c r="G232" s="2" t="s">
        <v>105</v>
      </c>
      <c r="H232" s="2" t="s">
        <v>73</v>
      </c>
      <c r="I232" s="2" t="s">
        <v>52</v>
      </c>
      <c r="J232" s="2" t="s">
        <v>65</v>
      </c>
      <c r="K232" s="2" t="s">
        <v>54</v>
      </c>
      <c r="L232" s="2" t="s">
        <v>54</v>
      </c>
      <c r="M232" s="2" t="s">
        <v>55</v>
      </c>
      <c r="N232" s="2">
        <v>21.58</v>
      </c>
      <c r="O232" s="2">
        <v>1883</v>
      </c>
      <c r="P232" s="2">
        <v>7</v>
      </c>
      <c r="Q232" s="4">
        <v>111.87</v>
      </c>
      <c r="R232" s="5">
        <v>1051.24</v>
      </c>
      <c r="S232" s="5">
        <v>117602.22</v>
      </c>
      <c r="T232" s="6">
        <v>4.4999999999999998E-2</v>
      </c>
      <c r="U232" s="5">
        <v>112310.12</v>
      </c>
      <c r="V232" s="5">
        <v>4198.34</v>
      </c>
      <c r="W232" s="6">
        <v>0.20599999999999999</v>
      </c>
      <c r="X232" s="5">
        <v>23135.88</v>
      </c>
      <c r="Y232" s="2" t="s">
        <v>33</v>
      </c>
      <c r="Z232" s="2" t="s">
        <v>125</v>
      </c>
      <c r="AA232" s="2" t="s">
        <v>35</v>
      </c>
    </row>
    <row r="233" spans="1:27">
      <c r="A233" s="2" t="s">
        <v>358</v>
      </c>
      <c r="B233" s="3">
        <v>45822</v>
      </c>
      <c r="C233" s="2">
        <v>2025</v>
      </c>
      <c r="D233" s="2" t="s">
        <v>91</v>
      </c>
      <c r="E233" s="2" t="s">
        <v>49</v>
      </c>
      <c r="F233" s="2" t="s">
        <v>38</v>
      </c>
      <c r="G233" s="2" t="s">
        <v>82</v>
      </c>
      <c r="H233" s="2" t="s">
        <v>40</v>
      </c>
      <c r="I233" s="2" t="s">
        <v>88</v>
      </c>
      <c r="J233" s="2" t="s">
        <v>42</v>
      </c>
      <c r="K233" s="2" t="s">
        <v>100</v>
      </c>
      <c r="L233" s="2" t="s">
        <v>101</v>
      </c>
      <c r="M233" s="2" t="s">
        <v>145</v>
      </c>
      <c r="N233" s="2">
        <v>13.52</v>
      </c>
      <c r="O233" s="2">
        <v>207</v>
      </c>
      <c r="P233" s="2">
        <v>6.3</v>
      </c>
      <c r="Q233" s="4">
        <v>40.35</v>
      </c>
      <c r="R233" s="5">
        <v>1148.1099999999999</v>
      </c>
      <c r="S233" s="5">
        <v>46326.239999999998</v>
      </c>
      <c r="T233" s="6">
        <v>4.6199999999999998E-2</v>
      </c>
      <c r="U233" s="5">
        <v>44185.97</v>
      </c>
      <c r="V233" s="5">
        <v>3424.83</v>
      </c>
      <c r="W233" s="6">
        <v>0.11940000000000001</v>
      </c>
      <c r="X233" s="5">
        <v>5275.8</v>
      </c>
      <c r="Y233" s="2" t="s">
        <v>83</v>
      </c>
      <c r="Z233" s="2" t="s">
        <v>106</v>
      </c>
      <c r="AA233" s="2" t="s">
        <v>35</v>
      </c>
    </row>
    <row r="234" spans="1:27">
      <c r="A234" s="2" t="s">
        <v>359</v>
      </c>
      <c r="B234" s="3">
        <v>45666</v>
      </c>
      <c r="C234" s="2">
        <v>2025</v>
      </c>
      <c r="D234" s="2" t="s">
        <v>71</v>
      </c>
      <c r="E234" s="2" t="s">
        <v>60</v>
      </c>
      <c r="F234" s="2" t="s">
        <v>29</v>
      </c>
      <c r="G234" s="2" t="s">
        <v>78</v>
      </c>
      <c r="H234" s="2" t="s">
        <v>73</v>
      </c>
      <c r="I234" s="2" t="s">
        <v>64</v>
      </c>
      <c r="J234" s="2" t="s">
        <v>65</v>
      </c>
      <c r="K234" s="2" t="s">
        <v>66</v>
      </c>
      <c r="L234" s="2" t="s">
        <v>67</v>
      </c>
      <c r="M234" s="2" t="s">
        <v>68</v>
      </c>
      <c r="N234" s="2">
        <v>16.54</v>
      </c>
      <c r="O234" s="2">
        <v>64</v>
      </c>
      <c r="P234" s="2">
        <v>3.5</v>
      </c>
      <c r="Q234" s="4">
        <v>14.26</v>
      </c>
      <c r="R234" s="5">
        <v>1471.11</v>
      </c>
      <c r="S234" s="5">
        <v>20978.03</v>
      </c>
      <c r="T234" s="6">
        <v>2.5999999999999999E-2</v>
      </c>
      <c r="U234" s="5">
        <v>20432.599999999999</v>
      </c>
      <c r="V234" s="5">
        <v>358.51</v>
      </c>
      <c r="W234" s="6">
        <v>0.2341</v>
      </c>
      <c r="X234" s="5">
        <v>4783.2700000000004</v>
      </c>
      <c r="Y234" s="2" t="s">
        <v>83</v>
      </c>
      <c r="Z234" s="2" t="s">
        <v>34</v>
      </c>
      <c r="AA234" s="2" t="s">
        <v>35</v>
      </c>
    </row>
    <row r="235" spans="1:27">
      <c r="A235" s="2" t="s">
        <v>360</v>
      </c>
      <c r="B235" s="3">
        <v>45471</v>
      </c>
      <c r="C235" s="2">
        <v>2024</v>
      </c>
      <c r="D235" s="2" t="s">
        <v>91</v>
      </c>
      <c r="E235" s="2" t="s">
        <v>49</v>
      </c>
      <c r="F235" s="2" t="s">
        <v>86</v>
      </c>
      <c r="G235" s="2" t="s">
        <v>134</v>
      </c>
      <c r="H235" s="2" t="s">
        <v>31</v>
      </c>
      <c r="I235" s="2" t="s">
        <v>74</v>
      </c>
      <c r="J235" s="2" t="s">
        <v>42</v>
      </c>
      <c r="K235" s="2" t="s">
        <v>100</v>
      </c>
      <c r="L235" s="2" t="s">
        <v>101</v>
      </c>
      <c r="M235" s="2" t="s">
        <v>129</v>
      </c>
      <c r="N235" s="2">
        <v>2.83</v>
      </c>
      <c r="O235" s="2">
        <v>195</v>
      </c>
      <c r="P235" s="2">
        <v>4.3</v>
      </c>
      <c r="Q235" s="4">
        <v>194.96</v>
      </c>
      <c r="R235" s="5">
        <v>1083.92</v>
      </c>
      <c r="S235" s="5">
        <v>211321.04</v>
      </c>
      <c r="T235" s="6">
        <v>5.7200000000000001E-2</v>
      </c>
      <c r="U235" s="5">
        <v>199233.48</v>
      </c>
      <c r="V235" s="5">
        <v>11670.14</v>
      </c>
      <c r="W235" s="6">
        <v>0.2477</v>
      </c>
      <c r="X235" s="5">
        <v>49350.13</v>
      </c>
      <c r="Y235" s="2" t="s">
        <v>75</v>
      </c>
      <c r="Z235" s="2" t="s">
        <v>34</v>
      </c>
      <c r="AA235" s="2" t="s">
        <v>35</v>
      </c>
    </row>
    <row r="236" spans="1:27">
      <c r="A236" s="2" t="s">
        <v>361</v>
      </c>
      <c r="B236" s="3">
        <v>45735</v>
      </c>
      <c r="C236" s="2">
        <v>2025</v>
      </c>
      <c r="D236" s="2" t="s">
        <v>59</v>
      </c>
      <c r="E236" s="2" t="s">
        <v>60</v>
      </c>
      <c r="F236" s="2" t="s">
        <v>50</v>
      </c>
      <c r="G236" s="2" t="s">
        <v>115</v>
      </c>
      <c r="H236" s="2" t="s">
        <v>40</v>
      </c>
      <c r="I236" s="2" t="s">
        <v>64</v>
      </c>
      <c r="J236" s="2" t="s">
        <v>42</v>
      </c>
      <c r="K236" s="2" t="s">
        <v>100</v>
      </c>
      <c r="L236" s="2" t="s">
        <v>101</v>
      </c>
      <c r="M236" s="2" t="s">
        <v>108</v>
      </c>
      <c r="N236" s="2">
        <v>13.35</v>
      </c>
      <c r="O236" s="2">
        <v>188</v>
      </c>
      <c r="P236" s="2">
        <v>9.6999999999999993</v>
      </c>
      <c r="Q236" s="4">
        <v>258.72000000000003</v>
      </c>
      <c r="R236" s="5">
        <v>1268.5999999999999</v>
      </c>
      <c r="S236" s="5">
        <v>328212.19</v>
      </c>
      <c r="T236" s="6">
        <v>4.07E-2</v>
      </c>
      <c r="U236" s="5">
        <v>314853.95</v>
      </c>
      <c r="V236" s="5">
        <v>15280.94</v>
      </c>
      <c r="W236" s="6">
        <v>0.1075</v>
      </c>
      <c r="X236" s="5">
        <v>33846.800000000003</v>
      </c>
      <c r="Y236" s="2" t="s">
        <v>56</v>
      </c>
      <c r="Z236" s="2" t="s">
        <v>34</v>
      </c>
      <c r="AA236" s="2" t="s">
        <v>35</v>
      </c>
    </row>
    <row r="237" spans="1:27">
      <c r="A237" s="2" t="s">
        <v>362</v>
      </c>
      <c r="B237" s="3">
        <v>45803</v>
      </c>
      <c r="C237" s="2">
        <v>2025</v>
      </c>
      <c r="D237" s="2" t="s">
        <v>81</v>
      </c>
      <c r="E237" s="2" t="s">
        <v>49</v>
      </c>
      <c r="F237" s="2" t="s">
        <v>50</v>
      </c>
      <c r="G237" s="2" t="s">
        <v>115</v>
      </c>
      <c r="H237" s="2" t="s">
        <v>73</v>
      </c>
      <c r="I237" s="2" t="s">
        <v>88</v>
      </c>
      <c r="J237" s="2" t="s">
        <v>127</v>
      </c>
      <c r="K237" s="2" t="s">
        <v>54</v>
      </c>
      <c r="L237" s="2" t="s">
        <v>54</v>
      </c>
      <c r="M237" s="2" t="s">
        <v>158</v>
      </c>
      <c r="N237" s="2">
        <v>65.28</v>
      </c>
      <c r="O237" s="2">
        <v>1835</v>
      </c>
      <c r="P237" s="2">
        <v>5.5</v>
      </c>
      <c r="Q237" s="4">
        <v>93.04</v>
      </c>
      <c r="R237" s="5">
        <v>1297.24</v>
      </c>
      <c r="S237" s="5">
        <v>120695.21</v>
      </c>
      <c r="T237" s="6">
        <v>2.2599999999999999E-2</v>
      </c>
      <c r="U237" s="5">
        <v>117967.5</v>
      </c>
      <c r="V237" s="5">
        <v>3557.95</v>
      </c>
      <c r="W237" s="6">
        <v>0.20899999999999999</v>
      </c>
      <c r="X237" s="5">
        <v>24655.21</v>
      </c>
      <c r="Y237" s="2" t="s">
        <v>83</v>
      </c>
      <c r="Z237" s="2" t="s">
        <v>46</v>
      </c>
      <c r="AA237" s="2" t="s">
        <v>35</v>
      </c>
    </row>
    <row r="238" spans="1:27">
      <c r="A238" s="2" t="s">
        <v>363</v>
      </c>
      <c r="B238" s="3">
        <v>45524</v>
      </c>
      <c r="C238" s="2">
        <v>2024</v>
      </c>
      <c r="D238" s="2" t="s">
        <v>27</v>
      </c>
      <c r="E238" s="2" t="s">
        <v>28</v>
      </c>
      <c r="F238" s="2" t="s">
        <v>29</v>
      </c>
      <c r="G238" s="2" t="s">
        <v>30</v>
      </c>
      <c r="H238" s="2" t="s">
        <v>73</v>
      </c>
      <c r="I238" s="2" t="s">
        <v>52</v>
      </c>
      <c r="J238" s="2" t="s">
        <v>79</v>
      </c>
      <c r="K238" s="2" t="s">
        <v>100</v>
      </c>
      <c r="L238" s="2" t="s">
        <v>101</v>
      </c>
      <c r="M238" s="2" t="s">
        <v>129</v>
      </c>
      <c r="N238" s="2">
        <v>11.95</v>
      </c>
      <c r="O238" s="2">
        <v>296</v>
      </c>
      <c r="P238" s="2">
        <v>5.9</v>
      </c>
      <c r="Q238" s="4">
        <v>26.65</v>
      </c>
      <c r="R238" s="5">
        <v>1279.23</v>
      </c>
      <c r="S238" s="5">
        <v>34091.480000000003</v>
      </c>
      <c r="T238" s="6">
        <v>3.1099999999999999E-2</v>
      </c>
      <c r="U238" s="5">
        <v>33031.230000000003</v>
      </c>
      <c r="V238" s="5">
        <v>623.4</v>
      </c>
      <c r="W238" s="6">
        <v>0.19370000000000001</v>
      </c>
      <c r="X238" s="5">
        <v>6398.15</v>
      </c>
      <c r="Y238" s="2" t="s">
        <v>69</v>
      </c>
      <c r="Z238" s="2" t="s">
        <v>57</v>
      </c>
      <c r="AA238" s="2" t="s">
        <v>35</v>
      </c>
    </row>
    <row r="239" spans="1:27">
      <c r="A239" s="2" t="s">
        <v>364</v>
      </c>
      <c r="B239" s="3">
        <v>45371</v>
      </c>
      <c r="C239" s="2">
        <v>2024</v>
      </c>
      <c r="D239" s="2" t="s">
        <v>59</v>
      </c>
      <c r="E239" s="2" t="s">
        <v>60</v>
      </c>
      <c r="F239" s="2" t="s">
        <v>98</v>
      </c>
      <c r="G239" s="2" t="s">
        <v>99</v>
      </c>
      <c r="H239" s="2" t="s">
        <v>40</v>
      </c>
      <c r="I239" s="2" t="s">
        <v>52</v>
      </c>
      <c r="J239" s="2" t="s">
        <v>65</v>
      </c>
      <c r="K239" s="2" t="s">
        <v>66</v>
      </c>
      <c r="L239" s="2" t="s">
        <v>67</v>
      </c>
      <c r="M239" s="2" t="s">
        <v>68</v>
      </c>
      <c r="N239" s="2">
        <v>12.98</v>
      </c>
      <c r="O239" s="2">
        <v>127</v>
      </c>
      <c r="P239" s="2">
        <v>10</v>
      </c>
      <c r="Q239" s="4">
        <v>113.36</v>
      </c>
      <c r="R239" s="5">
        <v>1655.33</v>
      </c>
      <c r="S239" s="5">
        <v>187648.21</v>
      </c>
      <c r="T239" s="6">
        <v>5.7299999999999997E-2</v>
      </c>
      <c r="U239" s="5">
        <v>176895.97</v>
      </c>
      <c r="V239" s="5">
        <v>6876.55</v>
      </c>
      <c r="W239" s="6">
        <v>0.2145</v>
      </c>
      <c r="X239" s="5">
        <v>37944.19</v>
      </c>
      <c r="Y239" s="2" t="s">
        <v>69</v>
      </c>
      <c r="Z239" s="2" t="s">
        <v>34</v>
      </c>
      <c r="AA239" s="2" t="s">
        <v>35</v>
      </c>
    </row>
    <row r="240" spans="1:27">
      <c r="A240" s="2" t="s">
        <v>365</v>
      </c>
      <c r="B240" s="3">
        <v>45405</v>
      </c>
      <c r="C240" s="2">
        <v>2024</v>
      </c>
      <c r="D240" s="2" t="s">
        <v>48</v>
      </c>
      <c r="E240" s="2" t="s">
        <v>49</v>
      </c>
      <c r="F240" s="2" t="s">
        <v>38</v>
      </c>
      <c r="G240" s="2" t="s">
        <v>72</v>
      </c>
      <c r="H240" s="2" t="s">
        <v>40</v>
      </c>
      <c r="I240" s="2" t="s">
        <v>64</v>
      </c>
      <c r="J240" s="2" t="s">
        <v>65</v>
      </c>
      <c r="K240" s="2" t="s">
        <v>54</v>
      </c>
      <c r="L240" s="2" t="s">
        <v>54</v>
      </c>
      <c r="M240" s="2" t="s">
        <v>158</v>
      </c>
      <c r="N240" s="2">
        <v>57.76</v>
      </c>
      <c r="O240" s="2">
        <v>1356</v>
      </c>
      <c r="P240" s="2">
        <v>9.4</v>
      </c>
      <c r="Q240" s="4">
        <v>191.04</v>
      </c>
      <c r="R240" s="5">
        <v>1313.47</v>
      </c>
      <c r="S240" s="5">
        <v>250925.31</v>
      </c>
      <c r="T240" s="6">
        <v>5.1200000000000002E-2</v>
      </c>
      <c r="U240" s="5">
        <v>238077.93</v>
      </c>
      <c r="V240" s="5">
        <v>18491.669999999998</v>
      </c>
      <c r="W240" s="6">
        <v>0.1608</v>
      </c>
      <c r="X240" s="5">
        <v>38282.93</v>
      </c>
      <c r="Y240" s="2" t="s">
        <v>56</v>
      </c>
      <c r="Z240" s="2" t="s">
        <v>70</v>
      </c>
      <c r="AA240" s="2" t="s">
        <v>35</v>
      </c>
    </row>
    <row r="241" spans="1:27">
      <c r="A241" s="2" t="s">
        <v>366</v>
      </c>
      <c r="B241" s="3">
        <v>45663</v>
      </c>
      <c r="C241" s="2">
        <v>2025</v>
      </c>
      <c r="D241" s="2" t="s">
        <v>71</v>
      </c>
      <c r="E241" s="2" t="s">
        <v>60</v>
      </c>
      <c r="F241" s="2" t="s">
        <v>61</v>
      </c>
      <c r="G241" s="2" t="s">
        <v>132</v>
      </c>
      <c r="H241" s="2" t="s">
        <v>63</v>
      </c>
      <c r="I241" s="2" t="s">
        <v>88</v>
      </c>
      <c r="J241" s="2" t="s">
        <v>65</v>
      </c>
      <c r="K241" s="2" t="s">
        <v>100</v>
      </c>
      <c r="L241" s="2" t="s">
        <v>101</v>
      </c>
      <c r="M241" s="2" t="s">
        <v>108</v>
      </c>
      <c r="N241" s="2">
        <v>3.31</v>
      </c>
      <c r="O241" s="2">
        <v>258</v>
      </c>
      <c r="P241" s="2">
        <v>9.6</v>
      </c>
      <c r="Q241" s="4">
        <v>48.12</v>
      </c>
      <c r="R241" s="5">
        <v>1242.81</v>
      </c>
      <c r="S241" s="5">
        <v>59804.02</v>
      </c>
      <c r="T241" s="6">
        <v>3.5000000000000003E-2</v>
      </c>
      <c r="U241" s="5">
        <v>57710.879999999997</v>
      </c>
      <c r="V241" s="5">
        <v>1625.09</v>
      </c>
      <c r="W241" s="6">
        <v>0.20019999999999999</v>
      </c>
      <c r="X241" s="5">
        <v>11553.72</v>
      </c>
      <c r="Y241" s="2" t="s">
        <v>69</v>
      </c>
      <c r="Z241" s="2" t="s">
        <v>46</v>
      </c>
      <c r="AA241" s="2" t="s">
        <v>35</v>
      </c>
    </row>
    <row r="242" spans="1:27">
      <c r="A242" s="2" t="s">
        <v>367</v>
      </c>
      <c r="B242" s="3">
        <v>45836</v>
      </c>
      <c r="C242" s="2">
        <v>2025</v>
      </c>
      <c r="D242" s="2" t="s">
        <v>91</v>
      </c>
      <c r="E242" s="2" t="s">
        <v>49</v>
      </c>
      <c r="F242" s="2" t="s">
        <v>61</v>
      </c>
      <c r="G242" s="2" t="s">
        <v>114</v>
      </c>
      <c r="H242" s="2" t="s">
        <v>31</v>
      </c>
      <c r="I242" s="2" t="s">
        <v>64</v>
      </c>
      <c r="J242" s="2" t="s">
        <v>42</v>
      </c>
      <c r="K242" s="2" t="s">
        <v>43</v>
      </c>
      <c r="L242" s="2" t="s">
        <v>44</v>
      </c>
      <c r="M242" s="2" t="s">
        <v>171</v>
      </c>
      <c r="N242" s="2">
        <v>16.95</v>
      </c>
      <c r="O242" s="2">
        <v>19</v>
      </c>
      <c r="P242" s="2">
        <v>6.9</v>
      </c>
      <c r="Q242" s="4">
        <v>78.19</v>
      </c>
      <c r="R242" s="5">
        <v>890.71</v>
      </c>
      <c r="S242" s="5">
        <v>69644.61</v>
      </c>
      <c r="T242" s="6">
        <v>0.02</v>
      </c>
      <c r="U242" s="5">
        <v>68251.72</v>
      </c>
      <c r="V242" s="5">
        <v>5070.95</v>
      </c>
      <c r="W242" s="6">
        <v>0.1222</v>
      </c>
      <c r="X242" s="5">
        <v>8340.36</v>
      </c>
      <c r="Y242" s="2" t="s">
        <v>75</v>
      </c>
      <c r="Z242" s="2" t="s">
        <v>46</v>
      </c>
      <c r="AA242" s="2" t="s">
        <v>35</v>
      </c>
    </row>
    <row r="243" spans="1:27">
      <c r="A243" s="2" t="s">
        <v>368</v>
      </c>
      <c r="B243" s="3">
        <v>45927</v>
      </c>
      <c r="C243" s="2">
        <v>2025</v>
      </c>
      <c r="D243" s="2" t="s">
        <v>37</v>
      </c>
      <c r="E243" s="2" t="s">
        <v>28</v>
      </c>
      <c r="F243" s="2" t="s">
        <v>118</v>
      </c>
      <c r="G243" s="2" t="s">
        <v>155</v>
      </c>
      <c r="H243" s="2" t="s">
        <v>63</v>
      </c>
      <c r="I243" s="2" t="s">
        <v>32</v>
      </c>
      <c r="J243" s="2" t="s">
        <v>79</v>
      </c>
      <c r="K243" s="2" t="s">
        <v>43</v>
      </c>
      <c r="L243" s="2" t="s">
        <v>44</v>
      </c>
      <c r="M243" s="2" t="s">
        <v>171</v>
      </c>
      <c r="N243" s="2">
        <v>12.29</v>
      </c>
      <c r="O243" s="2">
        <v>20</v>
      </c>
      <c r="P243" s="2">
        <v>9</v>
      </c>
      <c r="Q243" s="4">
        <v>214.15</v>
      </c>
      <c r="R243" s="5">
        <v>643.4</v>
      </c>
      <c r="S243" s="5">
        <v>137784.10999999999</v>
      </c>
      <c r="T243" s="6">
        <v>4.7399999999999998E-2</v>
      </c>
      <c r="U243" s="5">
        <v>131253.14000000001</v>
      </c>
      <c r="V243" s="5">
        <v>5622.74</v>
      </c>
      <c r="W243" s="6">
        <v>0.155</v>
      </c>
      <c r="X243" s="5">
        <v>20344.240000000002</v>
      </c>
      <c r="Y243" s="2" t="s">
        <v>33</v>
      </c>
      <c r="Z243" s="2" t="s">
        <v>57</v>
      </c>
      <c r="AA243" s="2" t="s">
        <v>35</v>
      </c>
    </row>
    <row r="244" spans="1:27">
      <c r="A244" s="2" t="s">
        <v>369</v>
      </c>
      <c r="B244" s="3">
        <v>45345</v>
      </c>
      <c r="C244" s="2">
        <v>2024</v>
      </c>
      <c r="D244" s="2" t="s">
        <v>113</v>
      </c>
      <c r="E244" s="2" t="s">
        <v>60</v>
      </c>
      <c r="F244" s="2" t="s">
        <v>38</v>
      </c>
      <c r="G244" s="2" t="s">
        <v>82</v>
      </c>
      <c r="H244" s="2" t="s">
        <v>31</v>
      </c>
      <c r="I244" s="2" t="s">
        <v>32</v>
      </c>
      <c r="J244" s="2" t="s">
        <v>79</v>
      </c>
      <c r="K244" s="2" t="s">
        <v>100</v>
      </c>
      <c r="L244" s="2" t="s">
        <v>101</v>
      </c>
      <c r="M244" s="2" t="s">
        <v>129</v>
      </c>
      <c r="N244" s="2">
        <v>7.74</v>
      </c>
      <c r="O244" s="2">
        <v>258</v>
      </c>
      <c r="P244" s="2">
        <v>10.6</v>
      </c>
      <c r="Q244" s="4">
        <v>203.09</v>
      </c>
      <c r="R244" s="5">
        <v>1228.8900000000001</v>
      </c>
      <c r="S244" s="5">
        <v>249575.27</v>
      </c>
      <c r="T244" s="6">
        <v>2.8000000000000001E-2</v>
      </c>
      <c r="U244" s="5">
        <v>242587.16</v>
      </c>
      <c r="V244" s="5">
        <v>11157.12</v>
      </c>
      <c r="W244" s="6">
        <v>0.1439</v>
      </c>
      <c r="X244" s="5">
        <v>34908.29</v>
      </c>
      <c r="Y244" s="2" t="s">
        <v>33</v>
      </c>
      <c r="Z244" s="2" t="s">
        <v>57</v>
      </c>
      <c r="AA244" s="2" t="s">
        <v>35</v>
      </c>
    </row>
    <row r="245" spans="1:27">
      <c r="A245" s="2" t="s">
        <v>370</v>
      </c>
      <c r="B245" s="3">
        <v>45476</v>
      </c>
      <c r="C245" s="2">
        <v>2024</v>
      </c>
      <c r="D245" s="2" t="s">
        <v>104</v>
      </c>
      <c r="E245" s="2" t="s">
        <v>28</v>
      </c>
      <c r="F245" s="2" t="s">
        <v>98</v>
      </c>
      <c r="G245" s="2" t="s">
        <v>99</v>
      </c>
      <c r="H245" s="2" t="s">
        <v>73</v>
      </c>
      <c r="I245" s="2" t="s">
        <v>64</v>
      </c>
      <c r="J245" s="2" t="s">
        <v>127</v>
      </c>
      <c r="K245" s="2" t="s">
        <v>54</v>
      </c>
      <c r="L245" s="2" t="s">
        <v>54</v>
      </c>
      <c r="M245" s="2" t="s">
        <v>94</v>
      </c>
      <c r="N245" s="2">
        <v>10.17</v>
      </c>
      <c r="O245" s="2">
        <v>1771</v>
      </c>
      <c r="P245" s="2">
        <v>7.4</v>
      </c>
      <c r="Q245" s="4">
        <v>54.82</v>
      </c>
      <c r="R245" s="5">
        <v>926.66</v>
      </c>
      <c r="S245" s="5">
        <v>50799.5</v>
      </c>
      <c r="T245" s="6">
        <v>2.5600000000000001E-2</v>
      </c>
      <c r="U245" s="5">
        <v>49499.03</v>
      </c>
      <c r="V245" s="5">
        <v>2256.56</v>
      </c>
      <c r="W245" s="6">
        <v>0.1153</v>
      </c>
      <c r="X245" s="5">
        <v>5707.24</v>
      </c>
      <c r="Y245" s="2" t="s">
        <v>33</v>
      </c>
      <c r="Z245" s="2" t="s">
        <v>80</v>
      </c>
      <c r="AA245" s="2" t="s">
        <v>35</v>
      </c>
    </row>
    <row r="246" spans="1:27">
      <c r="A246" s="2" t="s">
        <v>371</v>
      </c>
      <c r="B246" s="3">
        <v>45573</v>
      </c>
      <c r="C246" s="2">
        <v>2024</v>
      </c>
      <c r="D246" s="2" t="s">
        <v>110</v>
      </c>
      <c r="E246" s="2" t="s">
        <v>77</v>
      </c>
      <c r="F246" s="2" t="s">
        <v>38</v>
      </c>
      <c r="G246" s="2" t="s">
        <v>39</v>
      </c>
      <c r="H246" s="2" t="s">
        <v>31</v>
      </c>
      <c r="I246" s="2" t="s">
        <v>52</v>
      </c>
      <c r="J246" s="2" t="s">
        <v>42</v>
      </c>
      <c r="K246" s="2" t="s">
        <v>100</v>
      </c>
      <c r="L246" s="2" t="s">
        <v>101</v>
      </c>
      <c r="M246" s="2" t="s">
        <v>102</v>
      </c>
      <c r="N246" s="2">
        <v>6.68</v>
      </c>
      <c r="O246" s="2">
        <v>358</v>
      </c>
      <c r="P246" s="2">
        <v>9.8000000000000007</v>
      </c>
      <c r="Q246" s="4">
        <v>203.11</v>
      </c>
      <c r="R246" s="5">
        <v>1116.54</v>
      </c>
      <c r="S246" s="5">
        <v>226780.44</v>
      </c>
      <c r="T246" s="6">
        <v>4.65E-2</v>
      </c>
      <c r="U246" s="5">
        <v>216235.15</v>
      </c>
      <c r="V246" s="5">
        <v>11832.61</v>
      </c>
      <c r="W246" s="6">
        <v>0.20280000000000001</v>
      </c>
      <c r="X246" s="5">
        <v>43852.49</v>
      </c>
      <c r="Y246" s="2" t="s">
        <v>33</v>
      </c>
      <c r="Z246" s="2" t="s">
        <v>34</v>
      </c>
      <c r="AA246" s="2" t="s">
        <v>35</v>
      </c>
    </row>
    <row r="247" spans="1:27">
      <c r="A247" s="2" t="s">
        <v>372</v>
      </c>
      <c r="B247" s="3">
        <v>45931</v>
      </c>
      <c r="C247" s="2">
        <v>2025</v>
      </c>
      <c r="D247" s="2" t="s">
        <v>110</v>
      </c>
      <c r="E247" s="2" t="s">
        <v>77</v>
      </c>
      <c r="F247" s="2" t="s">
        <v>98</v>
      </c>
      <c r="G247" s="2" t="s">
        <v>111</v>
      </c>
      <c r="H247" s="2" t="s">
        <v>40</v>
      </c>
      <c r="I247" s="2" t="s">
        <v>93</v>
      </c>
      <c r="J247" s="2" t="s">
        <v>65</v>
      </c>
      <c r="K247" s="2" t="s">
        <v>54</v>
      </c>
      <c r="L247" s="2" t="s">
        <v>54</v>
      </c>
      <c r="M247" s="2" t="s">
        <v>55</v>
      </c>
      <c r="N247" s="2">
        <v>15.18</v>
      </c>
      <c r="O247" s="2">
        <v>2146</v>
      </c>
      <c r="P247" s="2">
        <v>6.4</v>
      </c>
      <c r="Q247" s="4">
        <v>52.55</v>
      </c>
      <c r="R247" s="5">
        <v>1172.23</v>
      </c>
      <c r="S247" s="5">
        <v>61600.69</v>
      </c>
      <c r="T247" s="6">
        <v>3.6299999999999999E-2</v>
      </c>
      <c r="U247" s="5">
        <v>59364.58</v>
      </c>
      <c r="V247" s="5">
        <v>4560.4399999999996</v>
      </c>
      <c r="W247" s="6">
        <v>0.14899999999999999</v>
      </c>
      <c r="X247" s="5">
        <v>8845.32</v>
      </c>
      <c r="Y247" s="2" t="s">
        <v>83</v>
      </c>
      <c r="Z247" s="2" t="s">
        <v>106</v>
      </c>
      <c r="AA247" s="2" t="s">
        <v>35</v>
      </c>
    </row>
    <row r="248" spans="1:27">
      <c r="A248" s="2" t="s">
        <v>373</v>
      </c>
      <c r="B248" s="3">
        <v>45633</v>
      </c>
      <c r="C248" s="2">
        <v>2024</v>
      </c>
      <c r="D248" s="2" t="s">
        <v>97</v>
      </c>
      <c r="E248" s="2" t="s">
        <v>77</v>
      </c>
      <c r="F248" s="2" t="s">
        <v>38</v>
      </c>
      <c r="G248" s="2" t="s">
        <v>72</v>
      </c>
      <c r="H248" s="2" t="s">
        <v>73</v>
      </c>
      <c r="I248" s="2" t="s">
        <v>88</v>
      </c>
      <c r="J248" s="2" t="s">
        <v>53</v>
      </c>
      <c r="K248" s="2" t="s">
        <v>54</v>
      </c>
      <c r="L248" s="2" t="s">
        <v>54</v>
      </c>
      <c r="M248" s="2" t="s">
        <v>158</v>
      </c>
      <c r="N248" s="2">
        <v>35.53</v>
      </c>
      <c r="O248" s="2">
        <v>2707</v>
      </c>
      <c r="P248" s="2">
        <v>8.6999999999999993</v>
      </c>
      <c r="Q248" s="4">
        <v>81.510000000000005</v>
      </c>
      <c r="R248" s="5">
        <v>1080.7</v>
      </c>
      <c r="S248" s="5">
        <v>88087.86</v>
      </c>
      <c r="T248" s="6">
        <v>4.9000000000000002E-2</v>
      </c>
      <c r="U248" s="5">
        <v>83771.55</v>
      </c>
      <c r="V248" s="5">
        <v>2370.2800000000002</v>
      </c>
      <c r="W248" s="6">
        <v>0.11210000000000001</v>
      </c>
      <c r="X248" s="5">
        <v>9390.7900000000009</v>
      </c>
      <c r="Y248" s="2" t="s">
        <v>69</v>
      </c>
      <c r="Z248" s="2" t="s">
        <v>125</v>
      </c>
      <c r="AA248" s="2" t="s">
        <v>35</v>
      </c>
    </row>
    <row r="249" spans="1:27">
      <c r="A249" s="2" t="s">
        <v>374</v>
      </c>
      <c r="B249" s="3">
        <v>45441</v>
      </c>
      <c r="C249" s="2">
        <v>2024</v>
      </c>
      <c r="D249" s="2" t="s">
        <v>81</v>
      </c>
      <c r="E249" s="2" t="s">
        <v>49</v>
      </c>
      <c r="F249" s="2" t="s">
        <v>38</v>
      </c>
      <c r="G249" s="2" t="s">
        <v>39</v>
      </c>
      <c r="H249" s="2" t="s">
        <v>40</v>
      </c>
      <c r="I249" s="2" t="s">
        <v>41</v>
      </c>
      <c r="J249" s="2" t="s">
        <v>127</v>
      </c>
      <c r="K249" s="2" t="s">
        <v>54</v>
      </c>
      <c r="L249" s="2" t="s">
        <v>54</v>
      </c>
      <c r="M249" s="2" t="s">
        <v>158</v>
      </c>
      <c r="N249" s="2">
        <v>53.21</v>
      </c>
      <c r="O249" s="2">
        <v>1556</v>
      </c>
      <c r="P249" s="2">
        <v>12</v>
      </c>
      <c r="Q249" s="4">
        <v>123.05</v>
      </c>
      <c r="R249" s="5">
        <v>1187.53</v>
      </c>
      <c r="S249" s="5">
        <v>146125.57</v>
      </c>
      <c r="T249" s="6">
        <v>5.4699999999999999E-2</v>
      </c>
      <c r="U249" s="5">
        <v>138132.5</v>
      </c>
      <c r="V249" s="5">
        <v>6529.54</v>
      </c>
      <c r="W249" s="6">
        <v>0.1144</v>
      </c>
      <c r="X249" s="5">
        <v>15802.36</v>
      </c>
      <c r="Y249" s="2" t="s">
        <v>56</v>
      </c>
      <c r="Z249" s="2" t="s">
        <v>57</v>
      </c>
      <c r="AA249" s="2" t="s">
        <v>35</v>
      </c>
    </row>
    <row r="250" spans="1:27">
      <c r="A250" s="2" t="s">
        <v>375</v>
      </c>
      <c r="B250" s="3">
        <v>45519</v>
      </c>
      <c r="C250" s="2">
        <v>2024</v>
      </c>
      <c r="D250" s="2" t="s">
        <v>27</v>
      </c>
      <c r="E250" s="2" t="s">
        <v>28</v>
      </c>
      <c r="F250" s="2" t="s">
        <v>98</v>
      </c>
      <c r="G250" s="2" t="s">
        <v>99</v>
      </c>
      <c r="H250" s="2" t="s">
        <v>31</v>
      </c>
      <c r="I250" s="2" t="s">
        <v>41</v>
      </c>
      <c r="J250" s="2" t="s">
        <v>42</v>
      </c>
      <c r="K250" s="2" t="s">
        <v>100</v>
      </c>
      <c r="L250" s="2" t="s">
        <v>101</v>
      </c>
      <c r="M250" s="2" t="s">
        <v>145</v>
      </c>
      <c r="N250" s="2">
        <v>15.08</v>
      </c>
      <c r="O250" s="2">
        <v>459</v>
      </c>
      <c r="P250" s="2">
        <v>8.6999999999999993</v>
      </c>
      <c r="Q250" s="4">
        <v>50.53</v>
      </c>
      <c r="R250" s="5">
        <v>1203.51</v>
      </c>
      <c r="S250" s="5">
        <v>60813.36</v>
      </c>
      <c r="T250" s="6">
        <v>1.8700000000000001E-2</v>
      </c>
      <c r="U250" s="5">
        <v>59676.15</v>
      </c>
      <c r="V250" s="5">
        <v>4507.8900000000003</v>
      </c>
      <c r="W250" s="6">
        <v>0.2407</v>
      </c>
      <c r="X250" s="5">
        <v>14364.05</v>
      </c>
      <c r="Y250" s="2" t="s">
        <v>83</v>
      </c>
      <c r="Z250" s="2" t="s">
        <v>89</v>
      </c>
      <c r="AA250" s="2" t="s">
        <v>35</v>
      </c>
    </row>
    <row r="251" spans="1:27">
      <c r="A251" s="2" t="s">
        <v>376</v>
      </c>
      <c r="B251" s="3">
        <v>45517</v>
      </c>
      <c r="C251" s="2">
        <v>2024</v>
      </c>
      <c r="D251" s="2" t="s">
        <v>27</v>
      </c>
      <c r="E251" s="2" t="s">
        <v>28</v>
      </c>
      <c r="F251" s="2" t="s">
        <v>29</v>
      </c>
      <c r="G251" s="2" t="s">
        <v>95</v>
      </c>
      <c r="H251" s="2" t="s">
        <v>40</v>
      </c>
      <c r="I251" s="2" t="s">
        <v>116</v>
      </c>
      <c r="J251" s="2" t="s">
        <v>79</v>
      </c>
      <c r="K251" s="2" t="s">
        <v>43</v>
      </c>
      <c r="L251" s="2" t="s">
        <v>44</v>
      </c>
      <c r="M251" s="2" t="s">
        <v>85</v>
      </c>
      <c r="N251" s="2">
        <v>24.75</v>
      </c>
      <c r="O251" s="2">
        <v>27</v>
      </c>
      <c r="P251" s="2">
        <v>3.9</v>
      </c>
      <c r="Q251" s="4">
        <v>499.96</v>
      </c>
      <c r="R251" s="5">
        <v>795.8</v>
      </c>
      <c r="S251" s="5">
        <v>397868.17</v>
      </c>
      <c r="T251" s="6">
        <v>6.0499999999999998E-2</v>
      </c>
      <c r="U251" s="5">
        <v>373797.15</v>
      </c>
      <c r="V251" s="5">
        <v>33476.11</v>
      </c>
      <c r="W251" s="6">
        <v>0.115</v>
      </c>
      <c r="X251" s="5">
        <v>42986.67</v>
      </c>
      <c r="Y251" s="2" t="s">
        <v>69</v>
      </c>
      <c r="Z251" s="2" t="s">
        <v>80</v>
      </c>
      <c r="AA251" s="2" t="s">
        <v>35</v>
      </c>
    </row>
    <row r="252" spans="1:27">
      <c r="A252" s="2" t="s">
        <v>377</v>
      </c>
      <c r="B252" s="3">
        <v>45678</v>
      </c>
      <c r="C252" s="2">
        <v>2025</v>
      </c>
      <c r="D252" s="2" t="s">
        <v>71</v>
      </c>
      <c r="E252" s="2" t="s">
        <v>60</v>
      </c>
      <c r="F252" s="2" t="s">
        <v>38</v>
      </c>
      <c r="G252" s="2" t="s">
        <v>72</v>
      </c>
      <c r="H252" s="2" t="s">
        <v>40</v>
      </c>
      <c r="I252" s="2" t="s">
        <v>41</v>
      </c>
      <c r="J252" s="2" t="s">
        <v>53</v>
      </c>
      <c r="K252" s="2" t="s">
        <v>54</v>
      </c>
      <c r="L252" s="2" t="s">
        <v>54</v>
      </c>
      <c r="M252" s="2" t="s">
        <v>162</v>
      </c>
      <c r="N252" s="2">
        <v>49.2</v>
      </c>
      <c r="O252" s="2">
        <v>2895</v>
      </c>
      <c r="P252" s="2">
        <v>11.5</v>
      </c>
      <c r="Q252" s="4">
        <v>107.67</v>
      </c>
      <c r="R252" s="5">
        <v>1052.49</v>
      </c>
      <c r="S252" s="5">
        <v>113321.60000000001</v>
      </c>
      <c r="T252" s="6">
        <v>3.7199999999999997E-2</v>
      </c>
      <c r="U252" s="5">
        <v>109106.04</v>
      </c>
      <c r="V252" s="5">
        <v>9859.17</v>
      </c>
      <c r="W252" s="6">
        <v>0.2445</v>
      </c>
      <c r="X252" s="5">
        <v>26676.43</v>
      </c>
      <c r="Y252" s="2" t="s">
        <v>83</v>
      </c>
      <c r="Z252" s="2" t="s">
        <v>70</v>
      </c>
      <c r="AA252" s="2" t="s">
        <v>35</v>
      </c>
    </row>
    <row r="253" spans="1:27">
      <c r="A253" s="2" t="s">
        <v>378</v>
      </c>
      <c r="B253" s="3">
        <v>45409</v>
      </c>
      <c r="C253" s="2">
        <v>2024</v>
      </c>
      <c r="D253" s="2" t="s">
        <v>48</v>
      </c>
      <c r="E253" s="2" t="s">
        <v>49</v>
      </c>
      <c r="F253" s="2" t="s">
        <v>98</v>
      </c>
      <c r="G253" s="2" t="s">
        <v>111</v>
      </c>
      <c r="H253" s="2" t="s">
        <v>31</v>
      </c>
      <c r="I253" s="2" t="s">
        <v>116</v>
      </c>
      <c r="J253" s="2" t="s">
        <v>79</v>
      </c>
      <c r="K253" s="2" t="s">
        <v>43</v>
      </c>
      <c r="L253" s="2" t="s">
        <v>44</v>
      </c>
      <c r="M253" s="2" t="s">
        <v>85</v>
      </c>
      <c r="N253" s="2">
        <v>36.29</v>
      </c>
      <c r="O253" s="2">
        <v>32</v>
      </c>
      <c r="P253" s="2">
        <v>10.9</v>
      </c>
      <c r="Q253" s="4">
        <v>155.61000000000001</v>
      </c>
      <c r="R253" s="5">
        <v>806.51</v>
      </c>
      <c r="S253" s="5">
        <v>125501.02</v>
      </c>
      <c r="T253" s="6">
        <v>1.9E-2</v>
      </c>
      <c r="U253" s="5">
        <v>123116.5</v>
      </c>
      <c r="V253" s="5">
        <v>10468.299999999999</v>
      </c>
      <c r="W253" s="6">
        <v>0.15870000000000001</v>
      </c>
      <c r="X253" s="5">
        <v>19538.59</v>
      </c>
      <c r="Y253" s="2" t="s">
        <v>75</v>
      </c>
      <c r="Z253" s="2" t="s">
        <v>34</v>
      </c>
      <c r="AA253" s="2" t="s">
        <v>35</v>
      </c>
    </row>
    <row r="254" spans="1:27">
      <c r="A254" s="2" t="s">
        <v>379</v>
      </c>
      <c r="B254" s="3">
        <v>45562</v>
      </c>
      <c r="C254" s="2">
        <v>2024</v>
      </c>
      <c r="D254" s="2" t="s">
        <v>37</v>
      </c>
      <c r="E254" s="2" t="s">
        <v>28</v>
      </c>
      <c r="F254" s="2" t="s">
        <v>50</v>
      </c>
      <c r="G254" s="2" t="s">
        <v>105</v>
      </c>
      <c r="H254" s="2" t="s">
        <v>63</v>
      </c>
      <c r="I254" s="2" t="s">
        <v>32</v>
      </c>
      <c r="J254" s="2" t="s">
        <v>65</v>
      </c>
      <c r="K254" s="2" t="s">
        <v>100</v>
      </c>
      <c r="L254" s="2" t="s">
        <v>101</v>
      </c>
      <c r="M254" s="2" t="s">
        <v>129</v>
      </c>
      <c r="N254" s="2">
        <v>12.41</v>
      </c>
      <c r="O254" s="2">
        <v>501</v>
      </c>
      <c r="P254" s="2">
        <v>4.2</v>
      </c>
      <c r="Q254" s="4">
        <v>157.16999999999999</v>
      </c>
      <c r="R254" s="5">
        <v>1185.5899999999999</v>
      </c>
      <c r="S254" s="5">
        <v>186339.18</v>
      </c>
      <c r="T254" s="6">
        <v>4.9200000000000001E-2</v>
      </c>
      <c r="U254" s="5">
        <v>177171.29</v>
      </c>
      <c r="V254" s="5">
        <v>3788.42</v>
      </c>
      <c r="W254" s="6">
        <v>0.1517</v>
      </c>
      <c r="X254" s="5">
        <v>26876.880000000001</v>
      </c>
      <c r="Y254" s="2" t="s">
        <v>75</v>
      </c>
      <c r="Z254" s="2" t="s">
        <v>80</v>
      </c>
      <c r="AA254" s="2" t="s">
        <v>35</v>
      </c>
    </row>
    <row r="255" spans="1:27">
      <c r="A255" s="2" t="s">
        <v>380</v>
      </c>
      <c r="B255" s="3">
        <v>45767</v>
      </c>
      <c r="C255" s="2">
        <v>2025</v>
      </c>
      <c r="D255" s="2" t="s">
        <v>48</v>
      </c>
      <c r="E255" s="2" t="s">
        <v>49</v>
      </c>
      <c r="F255" s="2" t="s">
        <v>29</v>
      </c>
      <c r="G255" s="2" t="s">
        <v>78</v>
      </c>
      <c r="H255" s="2" t="s">
        <v>31</v>
      </c>
      <c r="I255" s="2" t="s">
        <v>52</v>
      </c>
      <c r="J255" s="2" t="s">
        <v>65</v>
      </c>
      <c r="K255" s="2" t="s">
        <v>54</v>
      </c>
      <c r="L255" s="2" t="s">
        <v>54</v>
      </c>
      <c r="M255" s="2" t="s">
        <v>55</v>
      </c>
      <c r="N255" s="2">
        <v>57.53</v>
      </c>
      <c r="O255" s="2">
        <v>2429</v>
      </c>
      <c r="P255" s="2">
        <v>6.5</v>
      </c>
      <c r="Q255" s="4">
        <v>52.29</v>
      </c>
      <c r="R255" s="5">
        <v>1269.23</v>
      </c>
      <c r="S255" s="5">
        <v>66368.039999999994</v>
      </c>
      <c r="T255" s="6">
        <v>3.5400000000000001E-2</v>
      </c>
      <c r="U255" s="5">
        <v>64018.61</v>
      </c>
      <c r="V255" s="5">
        <v>4443.71</v>
      </c>
      <c r="W255" s="6">
        <v>0.1237</v>
      </c>
      <c r="X255" s="5">
        <v>7919.1</v>
      </c>
      <c r="Y255" s="2" t="s">
        <v>75</v>
      </c>
      <c r="Z255" s="2" t="s">
        <v>125</v>
      </c>
      <c r="AA255" s="2" t="s">
        <v>35</v>
      </c>
    </row>
    <row r="256" spans="1:27">
      <c r="A256" s="2" t="s">
        <v>381</v>
      </c>
      <c r="B256" s="3">
        <v>45726</v>
      </c>
      <c r="C256" s="2">
        <v>2025</v>
      </c>
      <c r="D256" s="2" t="s">
        <v>59</v>
      </c>
      <c r="E256" s="2" t="s">
        <v>60</v>
      </c>
      <c r="F256" s="2" t="s">
        <v>86</v>
      </c>
      <c r="G256" s="2" t="s">
        <v>117</v>
      </c>
      <c r="H256" s="2" t="s">
        <v>31</v>
      </c>
      <c r="I256" s="2" t="s">
        <v>64</v>
      </c>
      <c r="J256" s="2" t="s">
        <v>127</v>
      </c>
      <c r="K256" s="2" t="s">
        <v>54</v>
      </c>
      <c r="L256" s="2" t="s">
        <v>54</v>
      </c>
      <c r="M256" s="2" t="s">
        <v>158</v>
      </c>
      <c r="N256" s="2">
        <v>13.35</v>
      </c>
      <c r="O256" s="2">
        <v>3040</v>
      </c>
      <c r="P256" s="2">
        <v>5.0999999999999996</v>
      </c>
      <c r="Q256" s="4">
        <v>47.1</v>
      </c>
      <c r="R256" s="5">
        <v>992.51</v>
      </c>
      <c r="S256" s="5">
        <v>46747.22</v>
      </c>
      <c r="T256" s="6">
        <v>1.9699999999999999E-2</v>
      </c>
      <c r="U256" s="5">
        <v>45826.3</v>
      </c>
      <c r="V256" s="5">
        <v>2629.98</v>
      </c>
      <c r="W256" s="6">
        <v>0.1953</v>
      </c>
      <c r="X256" s="5">
        <v>8949.8799999999992</v>
      </c>
      <c r="Y256" s="2" t="s">
        <v>56</v>
      </c>
      <c r="Z256" s="2" t="s">
        <v>80</v>
      </c>
      <c r="AA256" s="2" t="s">
        <v>35</v>
      </c>
    </row>
    <row r="257" spans="1:27">
      <c r="A257" s="2" t="s">
        <v>382</v>
      </c>
      <c r="B257" s="3">
        <v>45632</v>
      </c>
      <c r="C257" s="2">
        <v>2024</v>
      </c>
      <c r="D257" s="2" t="s">
        <v>97</v>
      </c>
      <c r="E257" s="2" t="s">
        <v>77</v>
      </c>
      <c r="F257" s="2" t="s">
        <v>50</v>
      </c>
      <c r="G257" s="2" t="s">
        <v>51</v>
      </c>
      <c r="H257" s="2" t="s">
        <v>40</v>
      </c>
      <c r="I257" s="2" t="s">
        <v>74</v>
      </c>
      <c r="J257" s="2" t="s">
        <v>79</v>
      </c>
      <c r="K257" s="2" t="s">
        <v>43</v>
      </c>
      <c r="L257" s="2" t="s">
        <v>44</v>
      </c>
      <c r="M257" s="2" t="s">
        <v>171</v>
      </c>
      <c r="N257" s="2">
        <v>14.22</v>
      </c>
      <c r="O257" s="2">
        <v>23</v>
      </c>
      <c r="P257" s="2">
        <v>4.7</v>
      </c>
      <c r="Q257" s="4">
        <v>318.95</v>
      </c>
      <c r="R257" s="5">
        <v>743.09</v>
      </c>
      <c r="S257" s="5">
        <v>237008.56</v>
      </c>
      <c r="T257" s="6">
        <v>3.5299999999999998E-2</v>
      </c>
      <c r="U257" s="5">
        <v>228642.16</v>
      </c>
      <c r="V257" s="5">
        <v>23685.58</v>
      </c>
      <c r="W257" s="6">
        <v>0.17399999999999999</v>
      </c>
      <c r="X257" s="5">
        <v>39783.74</v>
      </c>
      <c r="Y257" s="2" t="s">
        <v>33</v>
      </c>
      <c r="Z257" s="2" t="s">
        <v>46</v>
      </c>
      <c r="AA257" s="2" t="s">
        <v>35</v>
      </c>
    </row>
    <row r="258" spans="1:27">
      <c r="A258" s="2" t="s">
        <v>383</v>
      </c>
      <c r="B258" s="3">
        <v>45926</v>
      </c>
      <c r="C258" s="2">
        <v>2025</v>
      </c>
      <c r="D258" s="2" t="s">
        <v>37</v>
      </c>
      <c r="E258" s="2" t="s">
        <v>28</v>
      </c>
      <c r="F258" s="2" t="s">
        <v>50</v>
      </c>
      <c r="G258" s="2" t="s">
        <v>115</v>
      </c>
      <c r="H258" s="2" t="s">
        <v>73</v>
      </c>
      <c r="I258" s="2" t="s">
        <v>64</v>
      </c>
      <c r="J258" s="2" t="s">
        <v>79</v>
      </c>
      <c r="K258" s="2" t="s">
        <v>43</v>
      </c>
      <c r="L258" s="2" t="s">
        <v>44</v>
      </c>
      <c r="M258" s="2" t="s">
        <v>85</v>
      </c>
      <c r="N258" s="2">
        <v>36.32</v>
      </c>
      <c r="O258" s="2">
        <v>37</v>
      </c>
      <c r="P258" s="2">
        <v>5.5</v>
      </c>
      <c r="Q258" s="4">
        <v>475.43</v>
      </c>
      <c r="R258" s="5">
        <v>698.01</v>
      </c>
      <c r="S258" s="5">
        <v>331854.89</v>
      </c>
      <c r="T258" s="6">
        <v>4.6100000000000002E-2</v>
      </c>
      <c r="U258" s="5">
        <v>316556.38</v>
      </c>
      <c r="V258" s="5">
        <v>15013.12</v>
      </c>
      <c r="W258" s="6">
        <v>0.14660000000000001</v>
      </c>
      <c r="X258" s="5">
        <v>46407.17</v>
      </c>
      <c r="Y258" s="2" t="s">
        <v>33</v>
      </c>
      <c r="Z258" s="2" t="s">
        <v>106</v>
      </c>
      <c r="AA258" s="2" t="s">
        <v>35</v>
      </c>
    </row>
    <row r="259" spans="1:27">
      <c r="A259" s="2" t="s">
        <v>384</v>
      </c>
      <c r="B259" s="3">
        <v>45736</v>
      </c>
      <c r="C259" s="2">
        <v>2025</v>
      </c>
      <c r="D259" s="2" t="s">
        <v>59</v>
      </c>
      <c r="E259" s="2" t="s">
        <v>60</v>
      </c>
      <c r="F259" s="2" t="s">
        <v>118</v>
      </c>
      <c r="G259" s="2" t="s">
        <v>121</v>
      </c>
      <c r="H259" s="2" t="s">
        <v>31</v>
      </c>
      <c r="I259" s="2" t="s">
        <v>93</v>
      </c>
      <c r="J259" s="2" t="s">
        <v>127</v>
      </c>
      <c r="K259" s="2" t="s">
        <v>54</v>
      </c>
      <c r="L259" s="2" t="s">
        <v>54</v>
      </c>
      <c r="M259" s="2" t="s">
        <v>162</v>
      </c>
      <c r="N259" s="2">
        <v>23.44</v>
      </c>
      <c r="O259" s="2">
        <v>2340</v>
      </c>
      <c r="P259" s="2">
        <v>10.4</v>
      </c>
      <c r="Q259" s="4">
        <v>76.41</v>
      </c>
      <c r="R259" s="5">
        <v>1060.68</v>
      </c>
      <c r="S259" s="5">
        <v>81046.559999999998</v>
      </c>
      <c r="T259" s="6">
        <v>2.0299999999999999E-2</v>
      </c>
      <c r="U259" s="5">
        <v>79401.31</v>
      </c>
      <c r="V259" s="5">
        <v>6051.69</v>
      </c>
      <c r="W259" s="6">
        <v>0.248</v>
      </c>
      <c r="X259" s="5">
        <v>19691.52</v>
      </c>
      <c r="Y259" s="2" t="s">
        <v>83</v>
      </c>
      <c r="Z259" s="2" t="s">
        <v>70</v>
      </c>
      <c r="AA259" s="2" t="s">
        <v>35</v>
      </c>
    </row>
    <row r="260" spans="1:27">
      <c r="A260" s="2" t="s">
        <v>385</v>
      </c>
      <c r="B260" s="3">
        <v>45926</v>
      </c>
      <c r="C260" s="2">
        <v>2025</v>
      </c>
      <c r="D260" s="2" t="s">
        <v>37</v>
      </c>
      <c r="E260" s="2" t="s">
        <v>28</v>
      </c>
      <c r="F260" s="2" t="s">
        <v>50</v>
      </c>
      <c r="G260" s="2" t="s">
        <v>51</v>
      </c>
      <c r="H260" s="2" t="s">
        <v>31</v>
      </c>
      <c r="I260" s="2" t="s">
        <v>116</v>
      </c>
      <c r="J260" s="2" t="s">
        <v>65</v>
      </c>
      <c r="K260" s="2" t="s">
        <v>66</v>
      </c>
      <c r="L260" s="2" t="s">
        <v>67</v>
      </c>
      <c r="M260" s="2" t="s">
        <v>68</v>
      </c>
      <c r="N260" s="2">
        <v>8.44</v>
      </c>
      <c r="O260" s="2">
        <v>76</v>
      </c>
      <c r="P260" s="2">
        <v>11.7</v>
      </c>
      <c r="Q260" s="4">
        <v>107.68</v>
      </c>
      <c r="R260" s="5">
        <v>1449.73</v>
      </c>
      <c r="S260" s="5">
        <v>156106.93</v>
      </c>
      <c r="T260" s="6">
        <v>4.4400000000000002E-2</v>
      </c>
      <c r="U260" s="5">
        <v>149175.78</v>
      </c>
      <c r="V260" s="5">
        <v>5762.24</v>
      </c>
      <c r="W260" s="6">
        <v>0.1749</v>
      </c>
      <c r="X260" s="5">
        <v>26090.84</v>
      </c>
      <c r="Y260" s="2" t="s">
        <v>75</v>
      </c>
      <c r="Z260" s="2" t="s">
        <v>106</v>
      </c>
      <c r="AA260" s="2" t="s">
        <v>35</v>
      </c>
    </row>
    <row r="261" spans="1:27">
      <c r="A261" s="2" t="s">
        <v>386</v>
      </c>
      <c r="B261" s="3">
        <v>45732</v>
      </c>
      <c r="C261" s="2">
        <v>2025</v>
      </c>
      <c r="D261" s="2" t="s">
        <v>59</v>
      </c>
      <c r="E261" s="2" t="s">
        <v>60</v>
      </c>
      <c r="F261" s="2" t="s">
        <v>98</v>
      </c>
      <c r="G261" s="2" t="s">
        <v>99</v>
      </c>
      <c r="H261" s="2" t="s">
        <v>31</v>
      </c>
      <c r="I261" s="2" t="s">
        <v>41</v>
      </c>
      <c r="J261" s="2" t="s">
        <v>53</v>
      </c>
      <c r="K261" s="2" t="s">
        <v>54</v>
      </c>
      <c r="L261" s="2" t="s">
        <v>54</v>
      </c>
      <c r="M261" s="2" t="s">
        <v>162</v>
      </c>
      <c r="N261" s="2">
        <v>28.55</v>
      </c>
      <c r="O261" s="2">
        <v>1344</v>
      </c>
      <c r="P261" s="2">
        <v>10.9</v>
      </c>
      <c r="Q261" s="4">
        <v>80.12</v>
      </c>
      <c r="R261" s="5">
        <v>1193.3900000000001</v>
      </c>
      <c r="S261" s="5">
        <v>95614.41</v>
      </c>
      <c r="T261" s="6">
        <v>6.1800000000000001E-2</v>
      </c>
      <c r="U261" s="5">
        <v>89705.44</v>
      </c>
      <c r="V261" s="5">
        <v>4449.3599999999997</v>
      </c>
      <c r="W261" s="6">
        <v>0.1852</v>
      </c>
      <c r="X261" s="5">
        <v>16613.45</v>
      </c>
      <c r="Y261" s="2" t="s">
        <v>75</v>
      </c>
      <c r="Z261" s="2" t="s">
        <v>46</v>
      </c>
      <c r="AA261" s="2" t="s">
        <v>35</v>
      </c>
    </row>
    <row r="262" spans="1:27">
      <c r="A262" s="2" t="s">
        <v>387</v>
      </c>
      <c r="B262" s="3">
        <v>45968</v>
      </c>
      <c r="C262" s="2">
        <v>2025</v>
      </c>
      <c r="D262" s="2" t="s">
        <v>76</v>
      </c>
      <c r="E262" s="2" t="s">
        <v>77</v>
      </c>
      <c r="F262" s="2" t="s">
        <v>50</v>
      </c>
      <c r="G262" s="2" t="s">
        <v>115</v>
      </c>
      <c r="H262" s="2" t="s">
        <v>73</v>
      </c>
      <c r="I262" s="2" t="s">
        <v>64</v>
      </c>
      <c r="J262" s="2" t="s">
        <v>42</v>
      </c>
      <c r="K262" s="2" t="s">
        <v>100</v>
      </c>
      <c r="L262" s="2" t="s">
        <v>101</v>
      </c>
      <c r="M262" s="2" t="s">
        <v>108</v>
      </c>
      <c r="N262" s="2">
        <v>9.93</v>
      </c>
      <c r="O262" s="2">
        <v>351</v>
      </c>
      <c r="P262" s="2">
        <v>3.2</v>
      </c>
      <c r="Q262" s="4">
        <v>59.84</v>
      </c>
      <c r="R262" s="5">
        <v>1207.6199999999999</v>
      </c>
      <c r="S262" s="5">
        <v>72263.98</v>
      </c>
      <c r="T262" s="6">
        <v>2.7E-2</v>
      </c>
      <c r="U262" s="5">
        <v>70312.850000000006</v>
      </c>
      <c r="V262" s="5">
        <v>2338.27</v>
      </c>
      <c r="W262" s="6">
        <v>0.21429999999999999</v>
      </c>
      <c r="X262" s="5">
        <v>15068.04</v>
      </c>
      <c r="Y262" s="2" t="s">
        <v>83</v>
      </c>
      <c r="Z262" s="2" t="s">
        <v>106</v>
      </c>
      <c r="AA262" s="2" t="s">
        <v>35</v>
      </c>
    </row>
    <row r="263" spans="1:27">
      <c r="A263" s="2" t="s">
        <v>388</v>
      </c>
      <c r="B263" s="3">
        <v>45603</v>
      </c>
      <c r="C263" s="2">
        <v>2024</v>
      </c>
      <c r="D263" s="2" t="s">
        <v>76</v>
      </c>
      <c r="E263" s="2" t="s">
        <v>77</v>
      </c>
      <c r="F263" s="2" t="s">
        <v>50</v>
      </c>
      <c r="G263" s="2" t="s">
        <v>115</v>
      </c>
      <c r="H263" s="2" t="s">
        <v>40</v>
      </c>
      <c r="I263" s="2" t="s">
        <v>93</v>
      </c>
      <c r="J263" s="2" t="s">
        <v>65</v>
      </c>
      <c r="K263" s="2" t="s">
        <v>66</v>
      </c>
      <c r="L263" s="2" t="s">
        <v>67</v>
      </c>
      <c r="M263" s="2" t="s">
        <v>140</v>
      </c>
      <c r="N263" s="2">
        <v>10.47</v>
      </c>
      <c r="O263" s="2">
        <v>78</v>
      </c>
      <c r="P263" s="2">
        <v>7.1</v>
      </c>
      <c r="Q263" s="4">
        <v>149.01</v>
      </c>
      <c r="R263" s="5">
        <v>1647.34</v>
      </c>
      <c r="S263" s="5">
        <v>245470.13</v>
      </c>
      <c r="T263" s="6">
        <v>3.3099999999999997E-2</v>
      </c>
      <c r="U263" s="5">
        <v>237345.07</v>
      </c>
      <c r="V263" s="5">
        <v>11216.43</v>
      </c>
      <c r="W263" s="6">
        <v>0.1573</v>
      </c>
      <c r="X263" s="5">
        <v>37334.379999999997</v>
      </c>
      <c r="Y263" s="2" t="s">
        <v>69</v>
      </c>
      <c r="Z263" s="2" t="s">
        <v>34</v>
      </c>
      <c r="AA263" s="2" t="s">
        <v>35</v>
      </c>
    </row>
    <row r="264" spans="1:27">
      <c r="A264" s="2" t="s">
        <v>389</v>
      </c>
      <c r="B264" s="3">
        <v>45312</v>
      </c>
      <c r="C264" s="2">
        <v>2024</v>
      </c>
      <c r="D264" s="2" t="s">
        <v>71</v>
      </c>
      <c r="E264" s="2" t="s">
        <v>60</v>
      </c>
      <c r="F264" s="2" t="s">
        <v>29</v>
      </c>
      <c r="G264" s="2" t="s">
        <v>78</v>
      </c>
      <c r="H264" s="2" t="s">
        <v>73</v>
      </c>
      <c r="I264" s="2" t="s">
        <v>41</v>
      </c>
      <c r="J264" s="2" t="s">
        <v>79</v>
      </c>
      <c r="K264" s="2" t="s">
        <v>43</v>
      </c>
      <c r="L264" s="2" t="s">
        <v>44</v>
      </c>
      <c r="M264" s="2" t="s">
        <v>45</v>
      </c>
      <c r="N264" s="2">
        <v>9.74</v>
      </c>
      <c r="O264" s="2">
        <v>26</v>
      </c>
      <c r="P264" s="2">
        <v>7.7</v>
      </c>
      <c r="Q264" s="4">
        <v>455.22</v>
      </c>
      <c r="R264" s="5">
        <v>734.6</v>
      </c>
      <c r="S264" s="5">
        <v>334404.61</v>
      </c>
      <c r="T264" s="6">
        <v>6.7100000000000007E-2</v>
      </c>
      <c r="U264" s="5">
        <v>311966.06</v>
      </c>
      <c r="V264" s="5">
        <v>14146.93</v>
      </c>
      <c r="W264" s="6">
        <v>0.25</v>
      </c>
      <c r="X264" s="5">
        <v>77991.509999999995</v>
      </c>
      <c r="Y264" s="2" t="s">
        <v>69</v>
      </c>
      <c r="Z264" s="2" t="s">
        <v>80</v>
      </c>
      <c r="AA264" s="2" t="s">
        <v>35</v>
      </c>
    </row>
    <row r="265" spans="1:27">
      <c r="A265" s="2" t="s">
        <v>390</v>
      </c>
      <c r="B265" s="3">
        <v>45804</v>
      </c>
      <c r="C265" s="2">
        <v>2025</v>
      </c>
      <c r="D265" s="2" t="s">
        <v>81</v>
      </c>
      <c r="E265" s="2" t="s">
        <v>49</v>
      </c>
      <c r="F265" s="2" t="s">
        <v>50</v>
      </c>
      <c r="G265" s="2" t="s">
        <v>92</v>
      </c>
      <c r="H265" s="2" t="s">
        <v>40</v>
      </c>
      <c r="I265" s="2" t="s">
        <v>64</v>
      </c>
      <c r="J265" s="2" t="s">
        <v>53</v>
      </c>
      <c r="K265" s="2" t="s">
        <v>54</v>
      </c>
      <c r="L265" s="2" t="s">
        <v>54</v>
      </c>
      <c r="M265" s="2" t="s">
        <v>94</v>
      </c>
      <c r="N265" s="2">
        <v>22.07</v>
      </c>
      <c r="O265" s="2">
        <v>2733</v>
      </c>
      <c r="P265" s="2">
        <v>3.6</v>
      </c>
      <c r="Q265" s="4">
        <v>154.34</v>
      </c>
      <c r="R265" s="5">
        <v>1080.97</v>
      </c>
      <c r="S265" s="5">
        <v>166836.91</v>
      </c>
      <c r="T265" s="6">
        <v>3.2199999999999999E-2</v>
      </c>
      <c r="U265" s="5">
        <v>161464.76</v>
      </c>
      <c r="V265" s="5">
        <v>14835.51</v>
      </c>
      <c r="W265" s="6">
        <v>0.18659999999999999</v>
      </c>
      <c r="X265" s="5">
        <v>30129.32</v>
      </c>
      <c r="Y265" s="2" t="s">
        <v>83</v>
      </c>
      <c r="Z265" s="2" t="s">
        <v>125</v>
      </c>
      <c r="AA265" s="2" t="s">
        <v>35</v>
      </c>
    </row>
    <row r="266" spans="1:27">
      <c r="A266" s="2" t="s">
        <v>391</v>
      </c>
      <c r="B266" s="3">
        <v>45385</v>
      </c>
      <c r="C266" s="2">
        <v>2024</v>
      </c>
      <c r="D266" s="2" t="s">
        <v>48</v>
      </c>
      <c r="E266" s="2" t="s">
        <v>49</v>
      </c>
      <c r="F266" s="2" t="s">
        <v>118</v>
      </c>
      <c r="G266" s="2" t="s">
        <v>121</v>
      </c>
      <c r="H266" s="2" t="s">
        <v>40</v>
      </c>
      <c r="I266" s="2" t="s">
        <v>93</v>
      </c>
      <c r="J266" s="2" t="s">
        <v>127</v>
      </c>
      <c r="K266" s="2" t="s">
        <v>54</v>
      </c>
      <c r="L266" s="2" t="s">
        <v>54</v>
      </c>
      <c r="M266" s="2" t="s">
        <v>162</v>
      </c>
      <c r="N266" s="2">
        <v>61.1</v>
      </c>
      <c r="O266" s="2">
        <v>1260</v>
      </c>
      <c r="P266" s="2">
        <v>7.6</v>
      </c>
      <c r="Q266" s="4">
        <v>18.71</v>
      </c>
      <c r="R266" s="5">
        <v>1083.6600000000001</v>
      </c>
      <c r="S266" s="5">
        <v>20275.28</v>
      </c>
      <c r="T266" s="6">
        <v>2.18E-2</v>
      </c>
      <c r="U266" s="5">
        <v>19833.28</v>
      </c>
      <c r="V266" s="5">
        <v>1482.09</v>
      </c>
      <c r="W266" s="6">
        <v>0.1545</v>
      </c>
      <c r="X266" s="5">
        <v>3064.24</v>
      </c>
      <c r="Y266" s="2" t="s">
        <v>56</v>
      </c>
      <c r="Z266" s="2" t="s">
        <v>80</v>
      </c>
      <c r="AA266" s="2" t="s">
        <v>35</v>
      </c>
    </row>
    <row r="267" spans="1:27">
      <c r="A267" s="2" t="s">
        <v>392</v>
      </c>
      <c r="B267" s="3">
        <v>45374</v>
      </c>
      <c r="C267" s="2">
        <v>2024</v>
      </c>
      <c r="D267" s="2" t="s">
        <v>59</v>
      </c>
      <c r="E267" s="2" t="s">
        <v>60</v>
      </c>
      <c r="F267" s="2" t="s">
        <v>118</v>
      </c>
      <c r="G267" s="2" t="s">
        <v>155</v>
      </c>
      <c r="H267" s="2" t="s">
        <v>63</v>
      </c>
      <c r="I267" s="2" t="s">
        <v>52</v>
      </c>
      <c r="J267" s="2" t="s">
        <v>42</v>
      </c>
      <c r="K267" s="2" t="s">
        <v>100</v>
      </c>
      <c r="L267" s="2" t="s">
        <v>101</v>
      </c>
      <c r="M267" s="2" t="s">
        <v>145</v>
      </c>
      <c r="N267" s="2">
        <v>13.28</v>
      </c>
      <c r="O267" s="2">
        <v>408</v>
      </c>
      <c r="P267" s="2">
        <v>11.1</v>
      </c>
      <c r="Q267" s="4">
        <v>106.84</v>
      </c>
      <c r="R267" s="5">
        <v>1096.0999999999999</v>
      </c>
      <c r="S267" s="5">
        <v>117107.32</v>
      </c>
      <c r="T267" s="6">
        <v>1.29E-2</v>
      </c>
      <c r="U267" s="5">
        <v>115596.64</v>
      </c>
      <c r="V267" s="5">
        <v>2636.21</v>
      </c>
      <c r="W267" s="6">
        <v>0.20979999999999999</v>
      </c>
      <c r="X267" s="5">
        <v>24252.18</v>
      </c>
      <c r="Y267" s="2" t="s">
        <v>69</v>
      </c>
      <c r="Z267" s="2" t="s">
        <v>34</v>
      </c>
      <c r="AA267" s="2" t="s">
        <v>35</v>
      </c>
    </row>
    <row r="268" spans="1:27">
      <c r="A268" s="2" t="s">
        <v>393</v>
      </c>
      <c r="B268" s="3">
        <v>45790</v>
      </c>
      <c r="C268" s="2">
        <v>2025</v>
      </c>
      <c r="D268" s="2" t="s">
        <v>81</v>
      </c>
      <c r="E268" s="2" t="s">
        <v>49</v>
      </c>
      <c r="F268" s="2" t="s">
        <v>50</v>
      </c>
      <c r="G268" s="2" t="s">
        <v>92</v>
      </c>
      <c r="H268" s="2" t="s">
        <v>63</v>
      </c>
      <c r="I268" s="2" t="s">
        <v>64</v>
      </c>
      <c r="J268" s="2" t="s">
        <v>127</v>
      </c>
      <c r="K268" s="2" t="s">
        <v>54</v>
      </c>
      <c r="L268" s="2" t="s">
        <v>54</v>
      </c>
      <c r="M268" s="2" t="s">
        <v>94</v>
      </c>
      <c r="N268" s="2">
        <v>66.040000000000006</v>
      </c>
      <c r="O268" s="2">
        <v>3040</v>
      </c>
      <c r="P268" s="2">
        <v>7.4</v>
      </c>
      <c r="Q268" s="4">
        <v>153.44</v>
      </c>
      <c r="R268" s="5">
        <v>1293.98</v>
      </c>
      <c r="S268" s="5">
        <v>198548.29</v>
      </c>
      <c r="T268" s="6">
        <v>5.0599999999999999E-2</v>
      </c>
      <c r="U268" s="5">
        <v>188501.75</v>
      </c>
      <c r="V268" s="5">
        <v>3592.2</v>
      </c>
      <c r="W268" s="6">
        <v>0.23380000000000001</v>
      </c>
      <c r="X268" s="5">
        <v>44071.71</v>
      </c>
      <c r="Y268" s="2" t="s">
        <v>69</v>
      </c>
      <c r="Z268" s="2" t="s">
        <v>46</v>
      </c>
      <c r="AA268" s="2" t="s">
        <v>35</v>
      </c>
    </row>
    <row r="269" spans="1:27">
      <c r="A269" s="2" t="s">
        <v>394</v>
      </c>
      <c r="B269" s="3">
        <v>45786</v>
      </c>
      <c r="C269" s="2">
        <v>2025</v>
      </c>
      <c r="D269" s="2" t="s">
        <v>81</v>
      </c>
      <c r="E269" s="2" t="s">
        <v>49</v>
      </c>
      <c r="F269" s="2" t="s">
        <v>86</v>
      </c>
      <c r="G269" s="2" t="s">
        <v>117</v>
      </c>
      <c r="H269" s="2" t="s">
        <v>73</v>
      </c>
      <c r="I269" s="2" t="s">
        <v>74</v>
      </c>
      <c r="J269" s="2" t="s">
        <v>42</v>
      </c>
      <c r="K269" s="2" t="s">
        <v>100</v>
      </c>
      <c r="L269" s="2" t="s">
        <v>101</v>
      </c>
      <c r="M269" s="2" t="s">
        <v>129</v>
      </c>
      <c r="N269" s="2">
        <v>13.59</v>
      </c>
      <c r="O269" s="2">
        <v>64</v>
      </c>
      <c r="P269" s="2">
        <v>5.8</v>
      </c>
      <c r="Q269" s="4">
        <v>51.02</v>
      </c>
      <c r="R269" s="5">
        <v>1144.42</v>
      </c>
      <c r="S269" s="5">
        <v>58388.31</v>
      </c>
      <c r="T269" s="6">
        <v>1.35E-2</v>
      </c>
      <c r="U269" s="5">
        <v>57600.07</v>
      </c>
      <c r="V269" s="5">
        <v>1373.67</v>
      </c>
      <c r="W269" s="6">
        <v>0.15670000000000001</v>
      </c>
      <c r="X269" s="5">
        <v>9025.93</v>
      </c>
      <c r="Y269" s="2" t="s">
        <v>69</v>
      </c>
      <c r="Z269" s="2" t="s">
        <v>80</v>
      </c>
      <c r="AA269" s="2" t="s">
        <v>35</v>
      </c>
    </row>
    <row r="270" spans="1:27">
      <c r="A270" s="2" t="s">
        <v>395</v>
      </c>
      <c r="B270" s="3">
        <v>45880</v>
      </c>
      <c r="C270" s="2">
        <v>2025</v>
      </c>
      <c r="D270" s="2" t="s">
        <v>27</v>
      </c>
      <c r="E270" s="2" t="s">
        <v>28</v>
      </c>
      <c r="F270" s="2" t="s">
        <v>98</v>
      </c>
      <c r="G270" s="2" t="s">
        <v>137</v>
      </c>
      <c r="H270" s="2" t="s">
        <v>31</v>
      </c>
      <c r="I270" s="2" t="s">
        <v>74</v>
      </c>
      <c r="J270" s="2" t="s">
        <v>79</v>
      </c>
      <c r="K270" s="2" t="s">
        <v>43</v>
      </c>
      <c r="L270" s="2" t="s">
        <v>44</v>
      </c>
      <c r="M270" s="2" t="s">
        <v>171</v>
      </c>
      <c r="N270" s="2">
        <v>15.06</v>
      </c>
      <c r="O270" s="2">
        <v>19</v>
      </c>
      <c r="P270" s="2">
        <v>5</v>
      </c>
      <c r="Q270" s="4">
        <v>69.510000000000005</v>
      </c>
      <c r="R270" s="5">
        <v>715.93</v>
      </c>
      <c r="S270" s="5">
        <v>49764.29</v>
      </c>
      <c r="T270" s="6">
        <v>6.0299999999999999E-2</v>
      </c>
      <c r="U270" s="5">
        <v>46763.5</v>
      </c>
      <c r="V270" s="5">
        <v>4041.81</v>
      </c>
      <c r="W270" s="6">
        <v>0.1605</v>
      </c>
      <c r="X270" s="5">
        <v>7505.54</v>
      </c>
      <c r="Y270" s="2" t="s">
        <v>33</v>
      </c>
      <c r="Z270" s="2" t="s">
        <v>57</v>
      </c>
      <c r="AA270" s="2" t="s">
        <v>35</v>
      </c>
    </row>
    <row r="271" spans="1:27">
      <c r="A271" s="2" t="s">
        <v>396</v>
      </c>
      <c r="B271" s="3">
        <v>45403</v>
      </c>
      <c r="C271" s="2">
        <v>2024</v>
      </c>
      <c r="D271" s="2" t="s">
        <v>48</v>
      </c>
      <c r="E271" s="2" t="s">
        <v>49</v>
      </c>
      <c r="F271" s="2" t="s">
        <v>50</v>
      </c>
      <c r="G271" s="2" t="s">
        <v>51</v>
      </c>
      <c r="H271" s="2" t="s">
        <v>31</v>
      </c>
      <c r="I271" s="2" t="s">
        <v>74</v>
      </c>
      <c r="J271" s="2" t="s">
        <v>65</v>
      </c>
      <c r="K271" s="2" t="s">
        <v>66</v>
      </c>
      <c r="L271" s="2" t="s">
        <v>67</v>
      </c>
      <c r="M271" s="2" t="s">
        <v>140</v>
      </c>
      <c r="N271" s="2">
        <v>16.350000000000001</v>
      </c>
      <c r="O271" s="2">
        <v>196</v>
      </c>
      <c r="P271" s="2">
        <v>3.5</v>
      </c>
      <c r="Q271" s="4">
        <v>41.48</v>
      </c>
      <c r="R271" s="5">
        <v>1630.04</v>
      </c>
      <c r="S271" s="5">
        <v>67614.06</v>
      </c>
      <c r="T271" s="6">
        <v>3.3099999999999997E-2</v>
      </c>
      <c r="U271" s="5">
        <v>65376.03</v>
      </c>
      <c r="V271" s="5">
        <v>3913.09</v>
      </c>
      <c r="W271" s="6">
        <v>0.24790000000000001</v>
      </c>
      <c r="X271" s="5">
        <v>16206.72</v>
      </c>
      <c r="Y271" s="2" t="s">
        <v>75</v>
      </c>
      <c r="Z271" s="2" t="s">
        <v>34</v>
      </c>
      <c r="AA271" s="2" t="s">
        <v>35</v>
      </c>
    </row>
    <row r="272" spans="1:27">
      <c r="A272" s="2" t="s">
        <v>397</v>
      </c>
      <c r="B272" s="3">
        <v>45384</v>
      </c>
      <c r="C272" s="2">
        <v>2024</v>
      </c>
      <c r="D272" s="2" t="s">
        <v>48</v>
      </c>
      <c r="E272" s="2" t="s">
        <v>49</v>
      </c>
      <c r="F272" s="2" t="s">
        <v>98</v>
      </c>
      <c r="G272" s="2" t="s">
        <v>137</v>
      </c>
      <c r="H272" s="2" t="s">
        <v>63</v>
      </c>
      <c r="I272" s="2" t="s">
        <v>93</v>
      </c>
      <c r="J272" s="2" t="s">
        <v>65</v>
      </c>
      <c r="K272" s="2" t="s">
        <v>66</v>
      </c>
      <c r="L272" s="2" t="s">
        <v>67</v>
      </c>
      <c r="M272" s="2" t="s">
        <v>122</v>
      </c>
      <c r="N272" s="2">
        <v>16.91</v>
      </c>
      <c r="O272" s="2">
        <v>132</v>
      </c>
      <c r="P272" s="2">
        <v>7</v>
      </c>
      <c r="Q272" s="4">
        <v>61.99</v>
      </c>
      <c r="R272" s="5">
        <v>1630.55</v>
      </c>
      <c r="S272" s="5">
        <v>101077.79</v>
      </c>
      <c r="T272" s="6">
        <v>2.9899999999999999E-2</v>
      </c>
      <c r="U272" s="5">
        <v>98055.56</v>
      </c>
      <c r="V272" s="5">
        <v>2145.85</v>
      </c>
      <c r="W272" s="6">
        <v>0.19400000000000001</v>
      </c>
      <c r="X272" s="5">
        <v>19022.78</v>
      </c>
      <c r="Y272" s="2" t="s">
        <v>33</v>
      </c>
      <c r="Z272" s="2" t="s">
        <v>70</v>
      </c>
      <c r="AA272" s="2" t="s">
        <v>35</v>
      </c>
    </row>
    <row r="273" spans="1:27">
      <c r="A273" s="2" t="s">
        <v>398</v>
      </c>
      <c r="B273" s="3">
        <v>45573</v>
      </c>
      <c r="C273" s="2">
        <v>2024</v>
      </c>
      <c r="D273" s="2" t="s">
        <v>110</v>
      </c>
      <c r="E273" s="2" t="s">
        <v>77</v>
      </c>
      <c r="F273" s="2" t="s">
        <v>38</v>
      </c>
      <c r="G273" s="2" t="s">
        <v>82</v>
      </c>
      <c r="H273" s="2" t="s">
        <v>31</v>
      </c>
      <c r="I273" s="2" t="s">
        <v>32</v>
      </c>
      <c r="J273" s="2" t="s">
        <v>65</v>
      </c>
      <c r="K273" s="2" t="s">
        <v>66</v>
      </c>
      <c r="L273" s="2" t="s">
        <v>67</v>
      </c>
      <c r="M273" s="2" t="s">
        <v>140</v>
      </c>
      <c r="N273" s="2">
        <v>17.89</v>
      </c>
      <c r="O273" s="2">
        <v>308</v>
      </c>
      <c r="P273" s="2">
        <v>9.6</v>
      </c>
      <c r="Q273" s="4">
        <v>157.06</v>
      </c>
      <c r="R273" s="5">
        <v>1558.6</v>
      </c>
      <c r="S273" s="5">
        <v>244793.72</v>
      </c>
      <c r="T273" s="6">
        <v>4.4999999999999998E-2</v>
      </c>
      <c r="U273" s="5">
        <v>233778</v>
      </c>
      <c r="V273" s="5">
        <v>11506.31</v>
      </c>
      <c r="W273" s="6">
        <v>0.20849999999999999</v>
      </c>
      <c r="X273" s="5">
        <v>48742.71</v>
      </c>
      <c r="Y273" s="2" t="s">
        <v>83</v>
      </c>
      <c r="Z273" s="2" t="s">
        <v>125</v>
      </c>
      <c r="AA273" s="2" t="s">
        <v>35</v>
      </c>
    </row>
    <row r="274" spans="1:27">
      <c r="A274" s="2" t="s">
        <v>399</v>
      </c>
      <c r="B274" s="3">
        <v>46003</v>
      </c>
      <c r="C274" s="2">
        <v>2025</v>
      </c>
      <c r="D274" s="2" t="s">
        <v>97</v>
      </c>
      <c r="E274" s="2" t="s">
        <v>77</v>
      </c>
      <c r="F274" s="2" t="s">
        <v>118</v>
      </c>
      <c r="G274" s="2" t="s">
        <v>121</v>
      </c>
      <c r="H274" s="2" t="s">
        <v>63</v>
      </c>
      <c r="I274" s="2" t="s">
        <v>116</v>
      </c>
      <c r="J274" s="2" t="s">
        <v>42</v>
      </c>
      <c r="K274" s="2" t="s">
        <v>43</v>
      </c>
      <c r="L274" s="2" t="s">
        <v>44</v>
      </c>
      <c r="M274" s="2" t="s">
        <v>45</v>
      </c>
      <c r="N274" s="2">
        <v>18.79</v>
      </c>
      <c r="O274" s="2">
        <v>22</v>
      </c>
      <c r="P274" s="2">
        <v>9.9</v>
      </c>
      <c r="Q274" s="4">
        <v>167.15</v>
      </c>
      <c r="R274" s="5">
        <v>700.48</v>
      </c>
      <c r="S274" s="5">
        <v>117085.23</v>
      </c>
      <c r="T274" s="6">
        <v>4.8099999999999997E-2</v>
      </c>
      <c r="U274" s="5">
        <v>111453.43</v>
      </c>
      <c r="V274" s="5">
        <v>3616.43</v>
      </c>
      <c r="W274" s="6">
        <v>0.1416</v>
      </c>
      <c r="X274" s="5">
        <v>15781.81</v>
      </c>
      <c r="Y274" s="2" t="s">
        <v>56</v>
      </c>
      <c r="Z274" s="2" t="s">
        <v>80</v>
      </c>
      <c r="AA274" s="2" t="s">
        <v>35</v>
      </c>
    </row>
    <row r="275" spans="1:27">
      <c r="A275" s="2" t="s">
        <v>400</v>
      </c>
      <c r="B275" s="3">
        <v>46012</v>
      </c>
      <c r="C275" s="2">
        <v>2025</v>
      </c>
      <c r="D275" s="2" t="s">
        <v>97</v>
      </c>
      <c r="E275" s="2" t="s">
        <v>77</v>
      </c>
      <c r="F275" s="2" t="s">
        <v>50</v>
      </c>
      <c r="G275" s="2" t="s">
        <v>92</v>
      </c>
      <c r="H275" s="2" t="s">
        <v>31</v>
      </c>
      <c r="I275" s="2" t="s">
        <v>74</v>
      </c>
      <c r="J275" s="2" t="s">
        <v>42</v>
      </c>
      <c r="K275" s="2" t="s">
        <v>43</v>
      </c>
      <c r="L275" s="2" t="s">
        <v>44</v>
      </c>
      <c r="M275" s="2" t="s">
        <v>171</v>
      </c>
      <c r="N275" s="2">
        <v>17.45</v>
      </c>
      <c r="O275" s="2">
        <v>16</v>
      </c>
      <c r="P275" s="2">
        <v>9.6</v>
      </c>
      <c r="Q275" s="4">
        <v>152.78</v>
      </c>
      <c r="R275" s="5">
        <v>735.72</v>
      </c>
      <c r="S275" s="5">
        <v>112403.3</v>
      </c>
      <c r="T275" s="6">
        <v>2.9100000000000001E-2</v>
      </c>
      <c r="U275" s="5">
        <v>109132.36</v>
      </c>
      <c r="V275" s="5">
        <v>8635.44</v>
      </c>
      <c r="W275" s="6">
        <v>0.20749999999999999</v>
      </c>
      <c r="X275" s="5">
        <v>22644.959999999999</v>
      </c>
      <c r="Y275" s="2" t="s">
        <v>56</v>
      </c>
      <c r="Z275" s="2" t="s">
        <v>70</v>
      </c>
      <c r="AA275" s="2" t="s">
        <v>35</v>
      </c>
    </row>
    <row r="276" spans="1:27">
      <c r="A276" s="2" t="s">
        <v>401</v>
      </c>
      <c r="B276" s="3">
        <v>45804</v>
      </c>
      <c r="C276" s="2">
        <v>2025</v>
      </c>
      <c r="D276" s="2" t="s">
        <v>81</v>
      </c>
      <c r="E276" s="2" t="s">
        <v>49</v>
      </c>
      <c r="F276" s="2" t="s">
        <v>98</v>
      </c>
      <c r="G276" s="2" t="s">
        <v>137</v>
      </c>
      <c r="H276" s="2" t="s">
        <v>63</v>
      </c>
      <c r="I276" s="2" t="s">
        <v>52</v>
      </c>
      <c r="J276" s="2" t="s">
        <v>79</v>
      </c>
      <c r="K276" s="2" t="s">
        <v>100</v>
      </c>
      <c r="L276" s="2" t="s">
        <v>101</v>
      </c>
      <c r="M276" s="2" t="s">
        <v>129</v>
      </c>
      <c r="N276" s="2">
        <v>9.5399999999999991</v>
      </c>
      <c r="O276" s="2">
        <v>598</v>
      </c>
      <c r="P276" s="2">
        <v>8.5</v>
      </c>
      <c r="Q276" s="4">
        <v>70.14</v>
      </c>
      <c r="R276" s="5">
        <v>1215.28</v>
      </c>
      <c r="S276" s="5">
        <v>85239.74</v>
      </c>
      <c r="T276" s="6">
        <v>4.8099999999999997E-2</v>
      </c>
      <c r="U276" s="5">
        <v>81139.710000000006</v>
      </c>
      <c r="V276" s="5">
        <v>2253.63</v>
      </c>
      <c r="W276" s="6">
        <v>0.13469999999999999</v>
      </c>
      <c r="X276" s="5">
        <v>10929.52</v>
      </c>
      <c r="Y276" s="2" t="s">
        <v>33</v>
      </c>
      <c r="Z276" s="2" t="s">
        <v>106</v>
      </c>
      <c r="AA276" s="2" t="s">
        <v>35</v>
      </c>
    </row>
    <row r="277" spans="1:27">
      <c r="A277" s="2" t="s">
        <v>402</v>
      </c>
      <c r="B277" s="3">
        <v>45456</v>
      </c>
      <c r="C277" s="2">
        <v>2024</v>
      </c>
      <c r="D277" s="2" t="s">
        <v>91</v>
      </c>
      <c r="E277" s="2" t="s">
        <v>49</v>
      </c>
      <c r="F277" s="2" t="s">
        <v>98</v>
      </c>
      <c r="G277" s="2" t="s">
        <v>111</v>
      </c>
      <c r="H277" s="2" t="s">
        <v>63</v>
      </c>
      <c r="I277" s="2" t="s">
        <v>88</v>
      </c>
      <c r="J277" s="2" t="s">
        <v>42</v>
      </c>
      <c r="K277" s="2" t="s">
        <v>43</v>
      </c>
      <c r="L277" s="2" t="s">
        <v>44</v>
      </c>
      <c r="M277" s="2" t="s">
        <v>45</v>
      </c>
      <c r="N277" s="2">
        <v>30.41</v>
      </c>
      <c r="O277" s="2">
        <v>32</v>
      </c>
      <c r="P277" s="2">
        <v>5.3</v>
      </c>
      <c r="Q277" s="4">
        <v>453.63</v>
      </c>
      <c r="R277" s="5">
        <v>822.38</v>
      </c>
      <c r="S277" s="5">
        <v>373056.24</v>
      </c>
      <c r="T277" s="6">
        <v>5.2499999999999998E-2</v>
      </c>
      <c r="U277" s="5">
        <v>353470.79</v>
      </c>
      <c r="V277" s="5">
        <v>13818.55</v>
      </c>
      <c r="W277" s="6">
        <v>0.20200000000000001</v>
      </c>
      <c r="X277" s="5">
        <v>71401.100000000006</v>
      </c>
      <c r="Y277" s="2" t="s">
        <v>75</v>
      </c>
      <c r="Z277" s="2" t="s">
        <v>89</v>
      </c>
      <c r="AA277" s="2" t="s">
        <v>35</v>
      </c>
    </row>
    <row r="278" spans="1:27">
      <c r="A278" s="2" t="s">
        <v>403</v>
      </c>
      <c r="B278" s="3">
        <v>45581</v>
      </c>
      <c r="C278" s="2">
        <v>2024</v>
      </c>
      <c r="D278" s="2" t="s">
        <v>110</v>
      </c>
      <c r="E278" s="2" t="s">
        <v>77</v>
      </c>
      <c r="F278" s="2" t="s">
        <v>29</v>
      </c>
      <c r="G278" s="2" t="s">
        <v>78</v>
      </c>
      <c r="H278" s="2" t="s">
        <v>63</v>
      </c>
      <c r="I278" s="2" t="s">
        <v>64</v>
      </c>
      <c r="J278" s="2" t="s">
        <v>65</v>
      </c>
      <c r="K278" s="2" t="s">
        <v>66</v>
      </c>
      <c r="L278" s="2" t="s">
        <v>67</v>
      </c>
      <c r="M278" s="2" t="s">
        <v>122</v>
      </c>
      <c r="N278" s="2">
        <v>11.97</v>
      </c>
      <c r="O278" s="2">
        <v>333</v>
      </c>
      <c r="P278" s="2">
        <v>3.9</v>
      </c>
      <c r="Q278" s="4">
        <v>141.75</v>
      </c>
      <c r="R278" s="5">
        <v>1648.06</v>
      </c>
      <c r="S278" s="5">
        <v>233612.51</v>
      </c>
      <c r="T278" s="6">
        <v>5.2499999999999998E-2</v>
      </c>
      <c r="U278" s="5">
        <v>221347.85</v>
      </c>
      <c r="V278" s="5">
        <v>4249.8</v>
      </c>
      <c r="W278" s="6">
        <v>0.28100000000000003</v>
      </c>
      <c r="X278" s="5">
        <v>62198.75</v>
      </c>
      <c r="Y278" s="2" t="s">
        <v>83</v>
      </c>
      <c r="Z278" s="2" t="s">
        <v>89</v>
      </c>
      <c r="AA278" s="2" t="s">
        <v>35</v>
      </c>
    </row>
    <row r="279" spans="1:27">
      <c r="A279" s="2" t="s">
        <v>404</v>
      </c>
      <c r="B279" s="3">
        <v>45990</v>
      </c>
      <c r="C279" s="2">
        <v>2025</v>
      </c>
      <c r="D279" s="2" t="s">
        <v>76</v>
      </c>
      <c r="E279" s="2" t="s">
        <v>77</v>
      </c>
      <c r="F279" s="2" t="s">
        <v>38</v>
      </c>
      <c r="G279" s="2" t="s">
        <v>72</v>
      </c>
      <c r="H279" s="2" t="s">
        <v>63</v>
      </c>
      <c r="I279" s="2" t="s">
        <v>52</v>
      </c>
      <c r="J279" s="2" t="s">
        <v>65</v>
      </c>
      <c r="K279" s="2" t="s">
        <v>100</v>
      </c>
      <c r="L279" s="2" t="s">
        <v>101</v>
      </c>
      <c r="M279" s="2" t="s">
        <v>102</v>
      </c>
      <c r="N279" s="2">
        <v>9.74</v>
      </c>
      <c r="O279" s="2">
        <v>541</v>
      </c>
      <c r="P279" s="2">
        <v>10.9</v>
      </c>
      <c r="Q279" s="4">
        <v>156.22</v>
      </c>
      <c r="R279" s="5">
        <v>1260.5999999999999</v>
      </c>
      <c r="S279" s="5">
        <v>196930.93</v>
      </c>
      <c r="T279" s="6">
        <v>5.7000000000000002E-2</v>
      </c>
      <c r="U279" s="5">
        <v>185705.87</v>
      </c>
      <c r="V279" s="5">
        <v>6533.67</v>
      </c>
      <c r="W279" s="6">
        <v>0.25419999999999998</v>
      </c>
      <c r="X279" s="5">
        <v>47206.43</v>
      </c>
      <c r="Y279" s="2" t="s">
        <v>69</v>
      </c>
      <c r="Z279" s="2" t="s">
        <v>106</v>
      </c>
      <c r="AA279" s="2" t="s">
        <v>35</v>
      </c>
    </row>
    <row r="280" spans="1:27">
      <c r="A280" s="2" t="s">
        <v>405</v>
      </c>
      <c r="B280" s="3">
        <v>45732</v>
      </c>
      <c r="C280" s="2">
        <v>2025</v>
      </c>
      <c r="D280" s="2" t="s">
        <v>59</v>
      </c>
      <c r="E280" s="2" t="s">
        <v>60</v>
      </c>
      <c r="F280" s="2" t="s">
        <v>61</v>
      </c>
      <c r="G280" s="2" t="s">
        <v>114</v>
      </c>
      <c r="H280" s="2" t="s">
        <v>31</v>
      </c>
      <c r="I280" s="2" t="s">
        <v>52</v>
      </c>
      <c r="J280" s="2" t="s">
        <v>42</v>
      </c>
      <c r="K280" s="2" t="s">
        <v>100</v>
      </c>
      <c r="L280" s="2" t="s">
        <v>101</v>
      </c>
      <c r="M280" s="2" t="s">
        <v>129</v>
      </c>
      <c r="N280" s="2">
        <v>6.09</v>
      </c>
      <c r="O280" s="2">
        <v>69</v>
      </c>
      <c r="P280" s="2">
        <v>5.8</v>
      </c>
      <c r="Q280" s="4">
        <v>35.049999999999997</v>
      </c>
      <c r="R280" s="5">
        <v>1405.69</v>
      </c>
      <c r="S280" s="5">
        <v>49269.43</v>
      </c>
      <c r="T280" s="6">
        <v>6.0600000000000001E-2</v>
      </c>
      <c r="U280" s="5">
        <v>46283.7</v>
      </c>
      <c r="V280" s="5">
        <v>3395.77</v>
      </c>
      <c r="W280" s="6">
        <v>0.18870000000000001</v>
      </c>
      <c r="X280" s="5">
        <v>8733.73</v>
      </c>
      <c r="Y280" s="2" t="s">
        <v>69</v>
      </c>
      <c r="Z280" s="2" t="s">
        <v>125</v>
      </c>
      <c r="AA280" s="2" t="s">
        <v>35</v>
      </c>
    </row>
    <row r="281" spans="1:27">
      <c r="A281" s="2" t="s">
        <v>406</v>
      </c>
      <c r="B281" s="3">
        <v>45863</v>
      </c>
      <c r="C281" s="2">
        <v>2025</v>
      </c>
      <c r="D281" s="2" t="s">
        <v>104</v>
      </c>
      <c r="E281" s="2" t="s">
        <v>28</v>
      </c>
      <c r="F281" s="2" t="s">
        <v>86</v>
      </c>
      <c r="G281" s="2" t="s">
        <v>134</v>
      </c>
      <c r="H281" s="2" t="s">
        <v>63</v>
      </c>
      <c r="I281" s="2" t="s">
        <v>64</v>
      </c>
      <c r="J281" s="2" t="s">
        <v>79</v>
      </c>
      <c r="K281" s="2" t="s">
        <v>100</v>
      </c>
      <c r="L281" s="2" t="s">
        <v>101</v>
      </c>
      <c r="M281" s="2" t="s">
        <v>145</v>
      </c>
      <c r="N281" s="2">
        <v>3.85</v>
      </c>
      <c r="O281" s="2">
        <v>201</v>
      </c>
      <c r="P281" s="2">
        <v>4.5999999999999996</v>
      </c>
      <c r="Q281" s="4">
        <v>65.28</v>
      </c>
      <c r="R281" s="5">
        <v>987.94</v>
      </c>
      <c r="S281" s="5">
        <v>64492.72</v>
      </c>
      <c r="T281" s="6">
        <v>1.9199999999999998E-2</v>
      </c>
      <c r="U281" s="5">
        <v>63254.46</v>
      </c>
      <c r="V281" s="5">
        <v>1387.55</v>
      </c>
      <c r="W281" s="6">
        <v>0.13780000000000001</v>
      </c>
      <c r="X281" s="5">
        <v>8716.4599999999991</v>
      </c>
      <c r="Y281" s="2" t="s">
        <v>56</v>
      </c>
      <c r="Z281" s="2" t="s">
        <v>34</v>
      </c>
      <c r="AA281" s="2" t="s">
        <v>35</v>
      </c>
    </row>
    <row r="282" spans="1:27">
      <c r="A282" s="2" t="s">
        <v>407</v>
      </c>
      <c r="B282" s="3">
        <v>45511</v>
      </c>
      <c r="C282" s="2">
        <v>2024</v>
      </c>
      <c r="D282" s="2" t="s">
        <v>27</v>
      </c>
      <c r="E282" s="2" t="s">
        <v>28</v>
      </c>
      <c r="F282" s="2" t="s">
        <v>61</v>
      </c>
      <c r="G282" s="2" t="s">
        <v>132</v>
      </c>
      <c r="H282" s="2" t="s">
        <v>31</v>
      </c>
      <c r="I282" s="2" t="s">
        <v>52</v>
      </c>
      <c r="J282" s="2" t="s">
        <v>65</v>
      </c>
      <c r="K282" s="2" t="s">
        <v>66</v>
      </c>
      <c r="L282" s="2" t="s">
        <v>67</v>
      </c>
      <c r="M282" s="2" t="s">
        <v>122</v>
      </c>
      <c r="N282" s="2">
        <v>16.010000000000002</v>
      </c>
      <c r="O282" s="2">
        <v>75</v>
      </c>
      <c r="P282" s="2">
        <v>9.5</v>
      </c>
      <c r="Q282" s="4">
        <v>99.43</v>
      </c>
      <c r="R282" s="5">
        <v>1705.91</v>
      </c>
      <c r="S282" s="5">
        <v>169618.63</v>
      </c>
      <c r="T282" s="6">
        <v>2.9700000000000001E-2</v>
      </c>
      <c r="U282" s="5">
        <v>164580.96</v>
      </c>
      <c r="V282" s="5">
        <v>6326.9</v>
      </c>
      <c r="W282" s="6">
        <v>0.2359</v>
      </c>
      <c r="X282" s="5">
        <v>38824.65</v>
      </c>
      <c r="Y282" s="2" t="s">
        <v>56</v>
      </c>
      <c r="Z282" s="2" t="s">
        <v>57</v>
      </c>
      <c r="AA282" s="2" t="s">
        <v>35</v>
      </c>
    </row>
    <row r="283" spans="1:27">
      <c r="A283" s="2" t="s">
        <v>408</v>
      </c>
      <c r="B283" s="3">
        <v>45859</v>
      </c>
      <c r="C283" s="2">
        <v>2025</v>
      </c>
      <c r="D283" s="2" t="s">
        <v>104</v>
      </c>
      <c r="E283" s="2" t="s">
        <v>28</v>
      </c>
      <c r="F283" s="2" t="s">
        <v>29</v>
      </c>
      <c r="G283" s="2" t="s">
        <v>78</v>
      </c>
      <c r="H283" s="2" t="s">
        <v>63</v>
      </c>
      <c r="I283" s="2" t="s">
        <v>88</v>
      </c>
      <c r="J283" s="2" t="s">
        <v>65</v>
      </c>
      <c r="K283" s="2" t="s">
        <v>100</v>
      </c>
      <c r="L283" s="2" t="s">
        <v>101</v>
      </c>
      <c r="M283" s="2" t="s">
        <v>102</v>
      </c>
      <c r="N283" s="2">
        <v>3.45</v>
      </c>
      <c r="O283" s="2">
        <v>441</v>
      </c>
      <c r="P283" s="2">
        <v>10.9</v>
      </c>
      <c r="Q283" s="4">
        <v>170.66</v>
      </c>
      <c r="R283" s="5">
        <v>1106.81</v>
      </c>
      <c r="S283" s="5">
        <v>188888.19</v>
      </c>
      <c r="T283" s="6">
        <v>4.9500000000000002E-2</v>
      </c>
      <c r="U283" s="5">
        <v>179538.22</v>
      </c>
      <c r="V283" s="5">
        <v>4576.1400000000003</v>
      </c>
      <c r="W283" s="6">
        <v>0.20039999999999999</v>
      </c>
      <c r="X283" s="5">
        <v>35979.46</v>
      </c>
      <c r="Y283" s="2" t="s">
        <v>33</v>
      </c>
      <c r="Z283" s="2" t="s">
        <v>89</v>
      </c>
      <c r="AA283" s="2" t="s">
        <v>35</v>
      </c>
    </row>
    <row r="284" spans="1:27">
      <c r="A284" s="2" t="s">
        <v>409</v>
      </c>
      <c r="B284" s="3">
        <v>45833</v>
      </c>
      <c r="C284" s="2">
        <v>2025</v>
      </c>
      <c r="D284" s="2" t="s">
        <v>91</v>
      </c>
      <c r="E284" s="2" t="s">
        <v>49</v>
      </c>
      <c r="F284" s="2" t="s">
        <v>98</v>
      </c>
      <c r="G284" s="2" t="s">
        <v>135</v>
      </c>
      <c r="H284" s="2" t="s">
        <v>63</v>
      </c>
      <c r="I284" s="2" t="s">
        <v>52</v>
      </c>
      <c r="J284" s="2" t="s">
        <v>42</v>
      </c>
      <c r="K284" s="2" t="s">
        <v>43</v>
      </c>
      <c r="L284" s="2" t="s">
        <v>44</v>
      </c>
      <c r="M284" s="2" t="s">
        <v>124</v>
      </c>
      <c r="N284" s="2">
        <v>19.03</v>
      </c>
      <c r="O284" s="2">
        <v>8</v>
      </c>
      <c r="P284" s="2">
        <v>5.9</v>
      </c>
      <c r="Q284" s="4">
        <v>475.59</v>
      </c>
      <c r="R284" s="5">
        <v>749.44</v>
      </c>
      <c r="S284" s="5">
        <v>356426.17</v>
      </c>
      <c r="T284" s="6">
        <v>4.6800000000000001E-2</v>
      </c>
      <c r="U284" s="5">
        <v>339745.43</v>
      </c>
      <c r="V284" s="5">
        <v>14310.95</v>
      </c>
      <c r="W284" s="6">
        <v>0.14169999999999999</v>
      </c>
      <c r="X284" s="5">
        <v>48141.93</v>
      </c>
      <c r="Y284" s="2" t="s">
        <v>69</v>
      </c>
      <c r="Z284" s="2" t="s">
        <v>80</v>
      </c>
      <c r="AA284" s="2" t="s">
        <v>35</v>
      </c>
    </row>
    <row r="285" spans="1:27">
      <c r="A285" s="2" t="s">
        <v>410</v>
      </c>
      <c r="B285" s="3">
        <v>45734</v>
      </c>
      <c r="C285" s="2">
        <v>2025</v>
      </c>
      <c r="D285" s="2" t="s">
        <v>59</v>
      </c>
      <c r="E285" s="2" t="s">
        <v>60</v>
      </c>
      <c r="F285" s="2" t="s">
        <v>50</v>
      </c>
      <c r="G285" s="2" t="s">
        <v>105</v>
      </c>
      <c r="H285" s="2" t="s">
        <v>31</v>
      </c>
      <c r="I285" s="2" t="s">
        <v>116</v>
      </c>
      <c r="J285" s="2" t="s">
        <v>53</v>
      </c>
      <c r="K285" s="2" t="s">
        <v>54</v>
      </c>
      <c r="L285" s="2" t="s">
        <v>54</v>
      </c>
      <c r="M285" s="2" t="s">
        <v>162</v>
      </c>
      <c r="N285" s="2">
        <v>46.79</v>
      </c>
      <c r="O285" s="2">
        <v>1308</v>
      </c>
      <c r="P285" s="2">
        <v>3.2</v>
      </c>
      <c r="Q285" s="4">
        <v>72.349999999999994</v>
      </c>
      <c r="R285" s="5">
        <v>1283.1600000000001</v>
      </c>
      <c r="S285" s="5">
        <v>92836.63</v>
      </c>
      <c r="T285" s="6">
        <v>3.2399999999999998E-2</v>
      </c>
      <c r="U285" s="5">
        <v>89828.72</v>
      </c>
      <c r="V285" s="5">
        <v>5610.85</v>
      </c>
      <c r="W285" s="6">
        <v>0.1205</v>
      </c>
      <c r="X285" s="5">
        <v>10824.36</v>
      </c>
      <c r="Y285" s="2" t="s">
        <v>75</v>
      </c>
      <c r="Z285" s="2" t="s">
        <v>125</v>
      </c>
      <c r="AA285" s="2" t="s">
        <v>35</v>
      </c>
    </row>
    <row r="286" spans="1:27">
      <c r="A286" s="2" t="s">
        <v>411</v>
      </c>
      <c r="B286" s="3">
        <v>45656</v>
      </c>
      <c r="C286" s="2">
        <v>2024</v>
      </c>
      <c r="D286" s="2" t="s">
        <v>97</v>
      </c>
      <c r="E286" s="2" t="s">
        <v>77</v>
      </c>
      <c r="F286" s="2" t="s">
        <v>50</v>
      </c>
      <c r="G286" s="2" t="s">
        <v>105</v>
      </c>
      <c r="H286" s="2" t="s">
        <v>40</v>
      </c>
      <c r="I286" s="2" t="s">
        <v>116</v>
      </c>
      <c r="J286" s="2" t="s">
        <v>127</v>
      </c>
      <c r="K286" s="2" t="s">
        <v>54</v>
      </c>
      <c r="L286" s="2" t="s">
        <v>54</v>
      </c>
      <c r="M286" s="2" t="s">
        <v>94</v>
      </c>
      <c r="N286" s="2">
        <v>61.24</v>
      </c>
      <c r="O286" s="2">
        <v>1911</v>
      </c>
      <c r="P286" s="2">
        <v>6.8</v>
      </c>
      <c r="Q286" s="4">
        <v>122.22</v>
      </c>
      <c r="R286" s="5">
        <v>1218.17</v>
      </c>
      <c r="S286" s="5">
        <v>148884.74</v>
      </c>
      <c r="T286" s="6">
        <v>3.0599999999999999E-2</v>
      </c>
      <c r="U286" s="5">
        <v>144328.87</v>
      </c>
      <c r="V286" s="5">
        <v>10363.73</v>
      </c>
      <c r="W286" s="6">
        <v>0.21440000000000001</v>
      </c>
      <c r="X286" s="5">
        <v>30944.11</v>
      </c>
      <c r="Y286" s="2" t="s">
        <v>75</v>
      </c>
      <c r="Z286" s="2" t="s">
        <v>70</v>
      </c>
      <c r="AA286" s="2" t="s">
        <v>35</v>
      </c>
    </row>
    <row r="287" spans="1:27">
      <c r="A287" s="2" t="s">
        <v>412</v>
      </c>
      <c r="B287" s="3">
        <v>45377</v>
      </c>
      <c r="C287" s="2">
        <v>2024</v>
      </c>
      <c r="D287" s="2" t="s">
        <v>59</v>
      </c>
      <c r="E287" s="2" t="s">
        <v>60</v>
      </c>
      <c r="F287" s="2" t="s">
        <v>86</v>
      </c>
      <c r="G287" s="2" t="s">
        <v>117</v>
      </c>
      <c r="H287" s="2" t="s">
        <v>31</v>
      </c>
      <c r="I287" s="2" t="s">
        <v>116</v>
      </c>
      <c r="J287" s="2" t="s">
        <v>42</v>
      </c>
      <c r="K287" s="2" t="s">
        <v>43</v>
      </c>
      <c r="L287" s="2" t="s">
        <v>44</v>
      </c>
      <c r="M287" s="2" t="s">
        <v>171</v>
      </c>
      <c r="N287" s="2">
        <v>34.86</v>
      </c>
      <c r="O287" s="2">
        <v>31</v>
      </c>
      <c r="P287" s="2">
        <v>6</v>
      </c>
      <c r="Q287" s="4">
        <v>578.08000000000004</v>
      </c>
      <c r="R287" s="5">
        <v>746.57</v>
      </c>
      <c r="S287" s="5">
        <v>431577.19</v>
      </c>
      <c r="T287" s="6">
        <v>3.4200000000000001E-2</v>
      </c>
      <c r="U287" s="5">
        <v>416817.25</v>
      </c>
      <c r="V287" s="5">
        <v>32013.439999999999</v>
      </c>
      <c r="W287" s="6">
        <v>0.123</v>
      </c>
      <c r="X287" s="5">
        <v>51268.52</v>
      </c>
      <c r="Y287" s="2" t="s">
        <v>75</v>
      </c>
      <c r="Z287" s="2" t="s">
        <v>89</v>
      </c>
      <c r="AA287" s="2" t="s">
        <v>35</v>
      </c>
    </row>
    <row r="288" spans="1:27">
      <c r="A288" s="2" t="s">
        <v>413</v>
      </c>
      <c r="B288" s="3">
        <v>45503</v>
      </c>
      <c r="C288" s="2">
        <v>2024</v>
      </c>
      <c r="D288" s="2" t="s">
        <v>104</v>
      </c>
      <c r="E288" s="2" t="s">
        <v>28</v>
      </c>
      <c r="F288" s="2" t="s">
        <v>61</v>
      </c>
      <c r="G288" s="2" t="s">
        <v>114</v>
      </c>
      <c r="H288" s="2" t="s">
        <v>31</v>
      </c>
      <c r="I288" s="2" t="s">
        <v>52</v>
      </c>
      <c r="J288" s="2" t="s">
        <v>65</v>
      </c>
      <c r="K288" s="2" t="s">
        <v>66</v>
      </c>
      <c r="L288" s="2" t="s">
        <v>67</v>
      </c>
      <c r="M288" s="2" t="s">
        <v>152</v>
      </c>
      <c r="N288" s="2">
        <v>14.72</v>
      </c>
      <c r="O288" s="2">
        <v>285</v>
      </c>
      <c r="P288" s="2">
        <v>6.1</v>
      </c>
      <c r="Q288" s="4">
        <v>44.87</v>
      </c>
      <c r="R288" s="5">
        <v>1461.67</v>
      </c>
      <c r="S288" s="5">
        <v>65585.13</v>
      </c>
      <c r="T288" s="6">
        <v>5.0900000000000001E-2</v>
      </c>
      <c r="U288" s="5">
        <v>62246.85</v>
      </c>
      <c r="V288" s="5">
        <v>4345.7700000000004</v>
      </c>
      <c r="W288" s="6">
        <v>0.25240000000000001</v>
      </c>
      <c r="X288" s="5">
        <v>15711.1</v>
      </c>
      <c r="Y288" s="2" t="s">
        <v>75</v>
      </c>
      <c r="Z288" s="2" t="s">
        <v>34</v>
      </c>
      <c r="AA288" s="2" t="s">
        <v>35</v>
      </c>
    </row>
    <row r="289" spans="1:27">
      <c r="A289" s="2" t="s">
        <v>414</v>
      </c>
      <c r="B289" s="3">
        <v>45777</v>
      </c>
      <c r="C289" s="2">
        <v>2025</v>
      </c>
      <c r="D289" s="2" t="s">
        <v>48</v>
      </c>
      <c r="E289" s="2" t="s">
        <v>49</v>
      </c>
      <c r="F289" s="2" t="s">
        <v>98</v>
      </c>
      <c r="G289" s="2" t="s">
        <v>135</v>
      </c>
      <c r="H289" s="2" t="s">
        <v>63</v>
      </c>
      <c r="I289" s="2" t="s">
        <v>32</v>
      </c>
      <c r="J289" s="2" t="s">
        <v>42</v>
      </c>
      <c r="K289" s="2" t="s">
        <v>100</v>
      </c>
      <c r="L289" s="2" t="s">
        <v>101</v>
      </c>
      <c r="M289" s="2" t="s">
        <v>145</v>
      </c>
      <c r="N289" s="2">
        <v>12.96</v>
      </c>
      <c r="O289" s="2">
        <v>157</v>
      </c>
      <c r="P289" s="2">
        <v>8.5</v>
      </c>
      <c r="Q289" s="4">
        <v>106.55</v>
      </c>
      <c r="R289" s="5">
        <v>1188.17</v>
      </c>
      <c r="S289" s="5">
        <v>126599.51</v>
      </c>
      <c r="T289" s="6">
        <v>3.6799999999999999E-2</v>
      </c>
      <c r="U289" s="5">
        <v>121940.65</v>
      </c>
      <c r="V289" s="5">
        <v>3354.41</v>
      </c>
      <c r="W289" s="6">
        <v>0.2281</v>
      </c>
      <c r="X289" s="5">
        <v>27814.66</v>
      </c>
      <c r="Y289" s="2" t="s">
        <v>83</v>
      </c>
      <c r="Z289" s="2" t="s">
        <v>57</v>
      </c>
      <c r="AA289" s="2" t="s">
        <v>35</v>
      </c>
    </row>
    <row r="290" spans="1:27">
      <c r="A290" s="2" t="s">
        <v>415</v>
      </c>
      <c r="B290" s="3">
        <v>45681</v>
      </c>
      <c r="C290" s="2">
        <v>2025</v>
      </c>
      <c r="D290" s="2" t="s">
        <v>71</v>
      </c>
      <c r="E290" s="2" t="s">
        <v>60</v>
      </c>
      <c r="F290" s="2" t="s">
        <v>38</v>
      </c>
      <c r="G290" s="2" t="s">
        <v>82</v>
      </c>
      <c r="H290" s="2" t="s">
        <v>73</v>
      </c>
      <c r="I290" s="2" t="s">
        <v>64</v>
      </c>
      <c r="J290" s="2" t="s">
        <v>127</v>
      </c>
      <c r="K290" s="2" t="s">
        <v>54</v>
      </c>
      <c r="L290" s="2" t="s">
        <v>54</v>
      </c>
      <c r="M290" s="2" t="s">
        <v>158</v>
      </c>
      <c r="N290" s="2">
        <v>26.95</v>
      </c>
      <c r="O290" s="2">
        <v>3094</v>
      </c>
      <c r="P290" s="2">
        <v>4</v>
      </c>
      <c r="Q290" s="4">
        <v>72.27</v>
      </c>
      <c r="R290" s="5">
        <v>1112.79</v>
      </c>
      <c r="S290" s="5">
        <v>80421.33</v>
      </c>
      <c r="T290" s="6">
        <v>4.41E-2</v>
      </c>
      <c r="U290" s="5">
        <v>76874.75</v>
      </c>
      <c r="V290" s="5">
        <v>2553.86</v>
      </c>
      <c r="W290" s="6">
        <v>0.18509999999999999</v>
      </c>
      <c r="X290" s="5">
        <v>14229.52</v>
      </c>
      <c r="Y290" s="2" t="s">
        <v>75</v>
      </c>
      <c r="Z290" s="2" t="s">
        <v>80</v>
      </c>
      <c r="AA290" s="2" t="s">
        <v>35</v>
      </c>
    </row>
    <row r="291" spans="1:27">
      <c r="A291" s="2" t="s">
        <v>416</v>
      </c>
      <c r="B291" s="3">
        <v>45322</v>
      </c>
      <c r="C291" s="2">
        <v>2024</v>
      </c>
      <c r="D291" s="2" t="s">
        <v>71</v>
      </c>
      <c r="E291" s="2" t="s">
        <v>60</v>
      </c>
      <c r="F291" s="2" t="s">
        <v>61</v>
      </c>
      <c r="G291" s="2" t="s">
        <v>62</v>
      </c>
      <c r="H291" s="2" t="s">
        <v>63</v>
      </c>
      <c r="I291" s="2" t="s">
        <v>116</v>
      </c>
      <c r="J291" s="2" t="s">
        <v>79</v>
      </c>
      <c r="K291" s="2" t="s">
        <v>43</v>
      </c>
      <c r="L291" s="2" t="s">
        <v>44</v>
      </c>
      <c r="M291" s="2" t="s">
        <v>124</v>
      </c>
      <c r="N291" s="2">
        <v>9.26</v>
      </c>
      <c r="O291" s="2">
        <v>18</v>
      </c>
      <c r="P291" s="2">
        <v>11.6</v>
      </c>
      <c r="Q291" s="4">
        <v>196.01</v>
      </c>
      <c r="R291" s="5">
        <v>793.16</v>
      </c>
      <c r="S291" s="5">
        <v>155467.29</v>
      </c>
      <c r="T291" s="6">
        <v>1.37E-2</v>
      </c>
      <c r="U291" s="5">
        <v>153337.39000000001</v>
      </c>
      <c r="V291" s="5">
        <v>5637.89</v>
      </c>
      <c r="W291" s="6">
        <v>0.23089999999999999</v>
      </c>
      <c r="X291" s="5">
        <v>35405.599999999999</v>
      </c>
      <c r="Y291" s="2" t="s">
        <v>33</v>
      </c>
      <c r="Z291" s="2" t="s">
        <v>70</v>
      </c>
      <c r="AA291" s="2" t="s">
        <v>35</v>
      </c>
    </row>
    <row r="292" spans="1:27">
      <c r="A292" s="2" t="s">
        <v>417</v>
      </c>
      <c r="B292" s="3">
        <v>45390</v>
      </c>
      <c r="C292" s="2">
        <v>2024</v>
      </c>
      <c r="D292" s="2" t="s">
        <v>48</v>
      </c>
      <c r="E292" s="2" t="s">
        <v>49</v>
      </c>
      <c r="F292" s="2" t="s">
        <v>50</v>
      </c>
      <c r="G292" s="2" t="s">
        <v>115</v>
      </c>
      <c r="H292" s="2" t="s">
        <v>31</v>
      </c>
      <c r="I292" s="2" t="s">
        <v>93</v>
      </c>
      <c r="J292" s="2" t="s">
        <v>79</v>
      </c>
      <c r="K292" s="2" t="s">
        <v>100</v>
      </c>
      <c r="L292" s="2" t="s">
        <v>101</v>
      </c>
      <c r="M292" s="2" t="s">
        <v>102</v>
      </c>
      <c r="N292" s="2">
        <v>3.79</v>
      </c>
      <c r="O292" s="2">
        <v>341</v>
      </c>
      <c r="P292" s="2">
        <v>9.9</v>
      </c>
      <c r="Q292" s="4">
        <v>83.11</v>
      </c>
      <c r="R292" s="5">
        <v>1251.27</v>
      </c>
      <c r="S292" s="5">
        <v>103993.05</v>
      </c>
      <c r="T292" s="6">
        <v>3.5900000000000001E-2</v>
      </c>
      <c r="U292" s="5">
        <v>100259.7</v>
      </c>
      <c r="V292" s="5">
        <v>6173.14</v>
      </c>
      <c r="W292" s="6">
        <v>0.1366</v>
      </c>
      <c r="X292" s="5">
        <v>13695.48</v>
      </c>
      <c r="Y292" s="2" t="s">
        <v>33</v>
      </c>
      <c r="Z292" s="2" t="s">
        <v>57</v>
      </c>
      <c r="AA292" s="2" t="s">
        <v>35</v>
      </c>
    </row>
    <row r="293" spans="1:27">
      <c r="A293" s="2" t="s">
        <v>418</v>
      </c>
      <c r="B293" s="3">
        <v>45524</v>
      </c>
      <c r="C293" s="2">
        <v>2024</v>
      </c>
      <c r="D293" s="2" t="s">
        <v>27</v>
      </c>
      <c r="E293" s="2" t="s">
        <v>28</v>
      </c>
      <c r="F293" s="2" t="s">
        <v>98</v>
      </c>
      <c r="G293" s="2" t="s">
        <v>111</v>
      </c>
      <c r="H293" s="2" t="s">
        <v>40</v>
      </c>
      <c r="I293" s="2" t="s">
        <v>41</v>
      </c>
      <c r="J293" s="2" t="s">
        <v>65</v>
      </c>
      <c r="K293" s="2" t="s">
        <v>66</v>
      </c>
      <c r="L293" s="2" t="s">
        <v>67</v>
      </c>
      <c r="M293" s="2" t="s">
        <v>152</v>
      </c>
      <c r="N293" s="2">
        <v>6.23</v>
      </c>
      <c r="O293" s="2">
        <v>261</v>
      </c>
      <c r="P293" s="2">
        <v>5.6</v>
      </c>
      <c r="Q293" s="4">
        <v>36.450000000000003</v>
      </c>
      <c r="R293" s="5">
        <v>1405.37</v>
      </c>
      <c r="S293" s="5">
        <v>51225.74</v>
      </c>
      <c r="T293" s="6">
        <v>2.41E-2</v>
      </c>
      <c r="U293" s="5">
        <v>49991.199999999997</v>
      </c>
      <c r="V293" s="5">
        <v>2085.06</v>
      </c>
      <c r="W293" s="6">
        <v>0.16619999999999999</v>
      </c>
      <c r="X293" s="5">
        <v>8308.5400000000009</v>
      </c>
      <c r="Y293" s="2" t="s">
        <v>75</v>
      </c>
      <c r="Z293" s="2" t="s">
        <v>34</v>
      </c>
      <c r="AA293" s="2" t="s">
        <v>35</v>
      </c>
    </row>
    <row r="294" spans="1:27">
      <c r="A294" s="2" t="s">
        <v>419</v>
      </c>
      <c r="B294" s="3">
        <v>45737</v>
      </c>
      <c r="C294" s="2">
        <v>2025</v>
      </c>
      <c r="D294" s="2" t="s">
        <v>59</v>
      </c>
      <c r="E294" s="2" t="s">
        <v>60</v>
      </c>
      <c r="F294" s="2" t="s">
        <v>98</v>
      </c>
      <c r="G294" s="2" t="s">
        <v>135</v>
      </c>
      <c r="H294" s="2" t="s">
        <v>40</v>
      </c>
      <c r="I294" s="2" t="s">
        <v>88</v>
      </c>
      <c r="J294" s="2" t="s">
        <v>42</v>
      </c>
      <c r="K294" s="2" t="s">
        <v>43</v>
      </c>
      <c r="L294" s="2" t="s">
        <v>44</v>
      </c>
      <c r="M294" s="2" t="s">
        <v>85</v>
      </c>
      <c r="N294" s="2">
        <v>25.3</v>
      </c>
      <c r="O294" s="2">
        <v>37</v>
      </c>
      <c r="P294" s="2">
        <v>4.0999999999999996</v>
      </c>
      <c r="Q294" s="4">
        <v>554.69000000000005</v>
      </c>
      <c r="R294" s="5">
        <v>741.34</v>
      </c>
      <c r="S294" s="5">
        <v>411213.88</v>
      </c>
      <c r="T294" s="6">
        <v>5.7299999999999997E-2</v>
      </c>
      <c r="U294" s="5">
        <v>387651.32</v>
      </c>
      <c r="V294" s="5">
        <v>40971.550000000003</v>
      </c>
      <c r="W294" s="6">
        <v>0.13930000000000001</v>
      </c>
      <c r="X294" s="5">
        <v>53999.83</v>
      </c>
      <c r="Y294" s="2" t="s">
        <v>33</v>
      </c>
      <c r="Z294" s="2" t="s">
        <v>125</v>
      </c>
      <c r="AA294" s="2" t="s">
        <v>35</v>
      </c>
    </row>
    <row r="295" spans="1:27">
      <c r="A295" s="2" t="s">
        <v>420</v>
      </c>
      <c r="B295" s="3">
        <v>45639</v>
      </c>
      <c r="C295" s="2">
        <v>2024</v>
      </c>
      <c r="D295" s="2" t="s">
        <v>97</v>
      </c>
      <c r="E295" s="2" t="s">
        <v>77</v>
      </c>
      <c r="F295" s="2" t="s">
        <v>61</v>
      </c>
      <c r="G295" s="2" t="s">
        <v>132</v>
      </c>
      <c r="H295" s="2" t="s">
        <v>63</v>
      </c>
      <c r="I295" s="2" t="s">
        <v>116</v>
      </c>
      <c r="J295" s="2" t="s">
        <v>79</v>
      </c>
      <c r="K295" s="2" t="s">
        <v>100</v>
      </c>
      <c r="L295" s="2" t="s">
        <v>101</v>
      </c>
      <c r="M295" s="2" t="s">
        <v>129</v>
      </c>
      <c r="N295" s="2">
        <v>10.11</v>
      </c>
      <c r="O295" s="2">
        <v>304</v>
      </c>
      <c r="P295" s="2">
        <v>11</v>
      </c>
      <c r="Q295" s="4">
        <v>122.76</v>
      </c>
      <c r="R295" s="5">
        <v>1249.73</v>
      </c>
      <c r="S295" s="5">
        <v>153416.85</v>
      </c>
      <c r="T295" s="6">
        <v>4.02E-2</v>
      </c>
      <c r="U295" s="5">
        <v>147249.49</v>
      </c>
      <c r="V295" s="5">
        <v>4906.6400000000003</v>
      </c>
      <c r="W295" s="6">
        <v>0.1794</v>
      </c>
      <c r="X295" s="5">
        <v>26416.560000000001</v>
      </c>
      <c r="Y295" s="2" t="s">
        <v>83</v>
      </c>
      <c r="Z295" s="2" t="s">
        <v>125</v>
      </c>
      <c r="AA295" s="2" t="s">
        <v>35</v>
      </c>
    </row>
    <row r="296" spans="1:27">
      <c r="A296" s="2" t="s">
        <v>421</v>
      </c>
      <c r="B296" s="3">
        <v>45483</v>
      </c>
      <c r="C296" s="2">
        <v>2024</v>
      </c>
      <c r="D296" s="2" t="s">
        <v>104</v>
      </c>
      <c r="E296" s="2" t="s">
        <v>28</v>
      </c>
      <c r="F296" s="2" t="s">
        <v>86</v>
      </c>
      <c r="G296" s="2" t="s">
        <v>87</v>
      </c>
      <c r="H296" s="2" t="s">
        <v>31</v>
      </c>
      <c r="I296" s="2" t="s">
        <v>64</v>
      </c>
      <c r="J296" s="2" t="s">
        <v>65</v>
      </c>
      <c r="K296" s="2" t="s">
        <v>66</v>
      </c>
      <c r="L296" s="2" t="s">
        <v>67</v>
      </c>
      <c r="M296" s="2" t="s">
        <v>122</v>
      </c>
      <c r="N296" s="2">
        <v>6.8</v>
      </c>
      <c r="O296" s="2">
        <v>300</v>
      </c>
      <c r="P296" s="2">
        <v>4.4000000000000004</v>
      </c>
      <c r="Q296" s="4">
        <v>178.22</v>
      </c>
      <c r="R296" s="5">
        <v>1426.61</v>
      </c>
      <c r="S296" s="5">
        <v>254250.43</v>
      </c>
      <c r="T296" s="6">
        <v>2.53E-2</v>
      </c>
      <c r="U296" s="5">
        <v>247817.89</v>
      </c>
      <c r="V296" s="5">
        <v>11243.78</v>
      </c>
      <c r="W296" s="6">
        <v>0.20419999999999999</v>
      </c>
      <c r="X296" s="5">
        <v>50604.41</v>
      </c>
      <c r="Y296" s="2" t="s">
        <v>83</v>
      </c>
      <c r="Z296" s="2" t="s">
        <v>57</v>
      </c>
      <c r="AA296" s="2" t="s">
        <v>35</v>
      </c>
    </row>
    <row r="297" spans="1:27">
      <c r="A297" s="2" t="s">
        <v>422</v>
      </c>
      <c r="B297" s="3">
        <v>45685</v>
      </c>
      <c r="C297" s="2">
        <v>2025</v>
      </c>
      <c r="D297" s="2" t="s">
        <v>71</v>
      </c>
      <c r="E297" s="2" t="s">
        <v>60</v>
      </c>
      <c r="F297" s="2" t="s">
        <v>50</v>
      </c>
      <c r="G297" s="2" t="s">
        <v>92</v>
      </c>
      <c r="H297" s="2" t="s">
        <v>63</v>
      </c>
      <c r="I297" s="2" t="s">
        <v>74</v>
      </c>
      <c r="J297" s="2" t="s">
        <v>42</v>
      </c>
      <c r="K297" s="2" t="s">
        <v>43</v>
      </c>
      <c r="L297" s="2" t="s">
        <v>44</v>
      </c>
      <c r="M297" s="2" t="s">
        <v>45</v>
      </c>
      <c r="N297" s="2">
        <v>23.15</v>
      </c>
      <c r="O297" s="2">
        <v>21</v>
      </c>
      <c r="P297" s="2">
        <v>8.9</v>
      </c>
      <c r="Q297" s="4">
        <v>48.76</v>
      </c>
      <c r="R297" s="5">
        <v>710.95</v>
      </c>
      <c r="S297" s="5">
        <v>34665.919999999998</v>
      </c>
      <c r="T297" s="6">
        <v>5.0799999999999998E-2</v>
      </c>
      <c r="U297" s="5">
        <v>32904.89</v>
      </c>
      <c r="V297" s="5">
        <v>1070.83</v>
      </c>
      <c r="W297" s="6">
        <v>0.2036</v>
      </c>
      <c r="X297" s="5">
        <v>6699.44</v>
      </c>
      <c r="Y297" s="2" t="s">
        <v>83</v>
      </c>
      <c r="Z297" s="2" t="s">
        <v>34</v>
      </c>
      <c r="AA297" s="2" t="s">
        <v>35</v>
      </c>
    </row>
    <row r="298" spans="1:27">
      <c r="A298" s="2" t="s">
        <v>423</v>
      </c>
      <c r="B298" s="3">
        <v>45397</v>
      </c>
      <c r="C298" s="2">
        <v>2024</v>
      </c>
      <c r="D298" s="2" t="s">
        <v>48</v>
      </c>
      <c r="E298" s="2" t="s">
        <v>49</v>
      </c>
      <c r="F298" s="2" t="s">
        <v>86</v>
      </c>
      <c r="G298" s="2" t="s">
        <v>87</v>
      </c>
      <c r="H298" s="2" t="s">
        <v>40</v>
      </c>
      <c r="I298" s="2" t="s">
        <v>41</v>
      </c>
      <c r="J298" s="2" t="s">
        <v>79</v>
      </c>
      <c r="K298" s="2" t="s">
        <v>100</v>
      </c>
      <c r="L298" s="2" t="s">
        <v>101</v>
      </c>
      <c r="M298" s="2" t="s">
        <v>108</v>
      </c>
      <c r="N298" s="2">
        <v>15.1</v>
      </c>
      <c r="O298" s="2">
        <v>523</v>
      </c>
      <c r="P298" s="2">
        <v>3.8</v>
      </c>
      <c r="Q298" s="4">
        <v>243.41</v>
      </c>
      <c r="R298" s="5">
        <v>1146.5</v>
      </c>
      <c r="S298" s="5">
        <v>279069.57</v>
      </c>
      <c r="T298" s="6">
        <v>3.4700000000000002E-2</v>
      </c>
      <c r="U298" s="5">
        <v>269385.86</v>
      </c>
      <c r="V298" s="5">
        <v>21728.41</v>
      </c>
      <c r="W298" s="6">
        <v>0.2039</v>
      </c>
      <c r="X298" s="5">
        <v>54927.78</v>
      </c>
      <c r="Y298" s="2" t="s">
        <v>56</v>
      </c>
      <c r="Z298" s="2" t="s">
        <v>89</v>
      </c>
      <c r="AA298" s="2" t="s">
        <v>35</v>
      </c>
    </row>
    <row r="299" spans="1:27">
      <c r="A299" s="2" t="s">
        <v>424</v>
      </c>
      <c r="B299" s="3">
        <v>45882</v>
      </c>
      <c r="C299" s="2">
        <v>2025</v>
      </c>
      <c r="D299" s="2" t="s">
        <v>27</v>
      </c>
      <c r="E299" s="2" t="s">
        <v>28</v>
      </c>
      <c r="F299" s="2" t="s">
        <v>118</v>
      </c>
      <c r="G299" s="2" t="s">
        <v>119</v>
      </c>
      <c r="H299" s="2" t="s">
        <v>31</v>
      </c>
      <c r="I299" s="2" t="s">
        <v>64</v>
      </c>
      <c r="J299" s="2" t="s">
        <v>65</v>
      </c>
      <c r="K299" s="2" t="s">
        <v>66</v>
      </c>
      <c r="L299" s="2" t="s">
        <v>67</v>
      </c>
      <c r="M299" s="2" t="s">
        <v>140</v>
      </c>
      <c r="N299" s="2">
        <v>5.05</v>
      </c>
      <c r="O299" s="2">
        <v>170</v>
      </c>
      <c r="P299" s="2">
        <v>8.6999999999999993</v>
      </c>
      <c r="Q299" s="4">
        <v>20.77</v>
      </c>
      <c r="R299" s="5">
        <v>1400.62</v>
      </c>
      <c r="S299" s="5">
        <v>29090.880000000001</v>
      </c>
      <c r="T299" s="6">
        <v>6.2899999999999998E-2</v>
      </c>
      <c r="U299" s="5">
        <v>27261.06</v>
      </c>
      <c r="V299" s="5">
        <v>1609.31</v>
      </c>
      <c r="W299" s="6">
        <v>0.15179999999999999</v>
      </c>
      <c r="X299" s="5">
        <v>4138.2299999999996</v>
      </c>
      <c r="Y299" s="2" t="s">
        <v>83</v>
      </c>
      <c r="Z299" s="2" t="s">
        <v>70</v>
      </c>
      <c r="AA299" s="2" t="s">
        <v>35</v>
      </c>
    </row>
    <row r="300" spans="1:27">
      <c r="A300" s="2" t="s">
        <v>425</v>
      </c>
      <c r="B300" s="3">
        <v>45661</v>
      </c>
      <c r="C300" s="2">
        <v>2025</v>
      </c>
      <c r="D300" s="2" t="s">
        <v>71</v>
      </c>
      <c r="E300" s="2" t="s">
        <v>60</v>
      </c>
      <c r="F300" s="2" t="s">
        <v>38</v>
      </c>
      <c r="G300" s="2" t="s">
        <v>82</v>
      </c>
      <c r="H300" s="2" t="s">
        <v>73</v>
      </c>
      <c r="I300" s="2" t="s">
        <v>64</v>
      </c>
      <c r="J300" s="2" t="s">
        <v>127</v>
      </c>
      <c r="K300" s="2" t="s">
        <v>54</v>
      </c>
      <c r="L300" s="2" t="s">
        <v>54</v>
      </c>
      <c r="M300" s="2" t="s">
        <v>55</v>
      </c>
      <c r="N300" s="2">
        <v>74.739999999999995</v>
      </c>
      <c r="O300" s="2">
        <v>1967</v>
      </c>
      <c r="P300" s="2">
        <v>3</v>
      </c>
      <c r="Q300" s="4">
        <v>13.62</v>
      </c>
      <c r="R300" s="5">
        <v>1130.05</v>
      </c>
      <c r="S300" s="5">
        <v>15391.28</v>
      </c>
      <c r="T300" s="6">
        <v>4.9500000000000002E-2</v>
      </c>
      <c r="U300" s="5">
        <v>14629.41</v>
      </c>
      <c r="V300" s="5">
        <v>510.12</v>
      </c>
      <c r="W300" s="6">
        <v>0.2492</v>
      </c>
      <c r="X300" s="5">
        <v>3645.65</v>
      </c>
      <c r="Y300" s="2" t="s">
        <v>83</v>
      </c>
      <c r="Z300" s="2" t="s">
        <v>70</v>
      </c>
      <c r="AA300" s="2" t="s">
        <v>35</v>
      </c>
    </row>
    <row r="301" spans="1:27">
      <c r="A301" s="2" t="s">
        <v>426</v>
      </c>
      <c r="B301" s="3">
        <v>45600</v>
      </c>
      <c r="C301" s="2">
        <v>2024</v>
      </c>
      <c r="D301" s="2" t="s">
        <v>76</v>
      </c>
      <c r="E301" s="2" t="s">
        <v>77</v>
      </c>
      <c r="F301" s="2" t="s">
        <v>86</v>
      </c>
      <c r="G301" s="2" t="s">
        <v>87</v>
      </c>
      <c r="H301" s="2" t="s">
        <v>73</v>
      </c>
      <c r="I301" s="2" t="s">
        <v>93</v>
      </c>
      <c r="J301" s="2" t="s">
        <v>65</v>
      </c>
      <c r="K301" s="2" t="s">
        <v>100</v>
      </c>
      <c r="L301" s="2" t="s">
        <v>101</v>
      </c>
      <c r="M301" s="2" t="s">
        <v>129</v>
      </c>
      <c r="N301" s="2">
        <v>15.82</v>
      </c>
      <c r="O301" s="2">
        <v>575</v>
      </c>
      <c r="P301" s="2">
        <v>4.5</v>
      </c>
      <c r="Q301" s="4">
        <v>100.84</v>
      </c>
      <c r="R301" s="5">
        <v>1093.1400000000001</v>
      </c>
      <c r="S301" s="5">
        <v>110232.24</v>
      </c>
      <c r="T301" s="6">
        <v>3.0499999999999999E-2</v>
      </c>
      <c r="U301" s="5">
        <v>106870.16</v>
      </c>
      <c r="V301" s="5">
        <v>3352.18</v>
      </c>
      <c r="W301" s="6">
        <v>0.25019999999999998</v>
      </c>
      <c r="X301" s="5">
        <v>26738.91</v>
      </c>
      <c r="Y301" s="2" t="s">
        <v>83</v>
      </c>
      <c r="Z301" s="2" t="s">
        <v>125</v>
      </c>
      <c r="AA301" s="2" t="s">
        <v>35</v>
      </c>
    </row>
    <row r="302" spans="1:27">
      <c r="A302" s="2" t="s">
        <v>427</v>
      </c>
      <c r="B302" s="3">
        <v>45321</v>
      </c>
      <c r="C302" s="2">
        <v>2024</v>
      </c>
      <c r="D302" s="2" t="s">
        <v>71</v>
      </c>
      <c r="E302" s="2" t="s">
        <v>60</v>
      </c>
      <c r="F302" s="2" t="s">
        <v>86</v>
      </c>
      <c r="G302" s="2" t="s">
        <v>117</v>
      </c>
      <c r="H302" s="2" t="s">
        <v>31</v>
      </c>
      <c r="I302" s="2" t="s">
        <v>88</v>
      </c>
      <c r="J302" s="2" t="s">
        <v>79</v>
      </c>
      <c r="K302" s="2" t="s">
        <v>100</v>
      </c>
      <c r="L302" s="2" t="s">
        <v>101</v>
      </c>
      <c r="M302" s="2" t="s">
        <v>129</v>
      </c>
      <c r="N302" s="2">
        <v>14.8</v>
      </c>
      <c r="O302" s="2">
        <v>354</v>
      </c>
      <c r="P302" s="2">
        <v>7.2</v>
      </c>
      <c r="Q302" s="4">
        <v>65.41</v>
      </c>
      <c r="R302" s="5">
        <v>1159.3499999999999</v>
      </c>
      <c r="S302" s="5">
        <v>75833.08</v>
      </c>
      <c r="T302" s="6">
        <v>4.3999999999999997E-2</v>
      </c>
      <c r="U302" s="5">
        <v>72496.42</v>
      </c>
      <c r="V302" s="5">
        <v>3818.28</v>
      </c>
      <c r="W302" s="6">
        <v>0.11840000000000001</v>
      </c>
      <c r="X302" s="5">
        <v>8583.58</v>
      </c>
      <c r="Y302" s="2" t="s">
        <v>33</v>
      </c>
      <c r="Z302" s="2" t="s">
        <v>57</v>
      </c>
      <c r="AA302" s="2" t="s">
        <v>35</v>
      </c>
    </row>
    <row r="303" spans="1:27">
      <c r="A303" s="2" t="s">
        <v>428</v>
      </c>
      <c r="B303" s="3">
        <v>45743</v>
      </c>
      <c r="C303" s="2">
        <v>2025</v>
      </c>
      <c r="D303" s="2" t="s">
        <v>59</v>
      </c>
      <c r="E303" s="2" t="s">
        <v>60</v>
      </c>
      <c r="F303" s="2" t="s">
        <v>38</v>
      </c>
      <c r="G303" s="2" t="s">
        <v>39</v>
      </c>
      <c r="H303" s="2" t="s">
        <v>40</v>
      </c>
      <c r="I303" s="2" t="s">
        <v>52</v>
      </c>
      <c r="J303" s="2" t="s">
        <v>79</v>
      </c>
      <c r="K303" s="2" t="s">
        <v>43</v>
      </c>
      <c r="L303" s="2" t="s">
        <v>44</v>
      </c>
      <c r="M303" s="2" t="s">
        <v>85</v>
      </c>
      <c r="N303" s="2">
        <v>25.62</v>
      </c>
      <c r="O303" s="2">
        <v>32</v>
      </c>
      <c r="P303" s="2">
        <v>8.1999999999999993</v>
      </c>
      <c r="Q303" s="4">
        <v>591.45000000000005</v>
      </c>
      <c r="R303" s="5">
        <v>728.59</v>
      </c>
      <c r="S303" s="5">
        <v>430924.56</v>
      </c>
      <c r="T303" s="6">
        <v>4.1500000000000002E-2</v>
      </c>
      <c r="U303" s="5">
        <v>413041.19</v>
      </c>
      <c r="V303" s="5">
        <v>31247.56</v>
      </c>
      <c r="W303" s="6">
        <v>0.21560000000000001</v>
      </c>
      <c r="X303" s="5">
        <v>89051.68</v>
      </c>
      <c r="Y303" s="2" t="s">
        <v>33</v>
      </c>
      <c r="Z303" s="2" t="s">
        <v>106</v>
      </c>
      <c r="AA303" s="2" t="s">
        <v>35</v>
      </c>
    </row>
    <row r="304" spans="1:27">
      <c r="A304" s="2" t="s">
        <v>429</v>
      </c>
      <c r="B304" s="3">
        <v>45618</v>
      </c>
      <c r="C304" s="2">
        <v>2024</v>
      </c>
      <c r="D304" s="2" t="s">
        <v>76</v>
      </c>
      <c r="E304" s="2" t="s">
        <v>77</v>
      </c>
      <c r="F304" s="2" t="s">
        <v>61</v>
      </c>
      <c r="G304" s="2" t="s">
        <v>132</v>
      </c>
      <c r="H304" s="2" t="s">
        <v>31</v>
      </c>
      <c r="I304" s="2" t="s">
        <v>74</v>
      </c>
      <c r="J304" s="2" t="s">
        <v>65</v>
      </c>
      <c r="K304" s="2" t="s">
        <v>54</v>
      </c>
      <c r="L304" s="2" t="s">
        <v>54</v>
      </c>
      <c r="M304" s="2" t="s">
        <v>94</v>
      </c>
      <c r="N304" s="2">
        <v>69.02</v>
      </c>
      <c r="O304" s="2">
        <v>2114</v>
      </c>
      <c r="P304" s="2">
        <v>5.7</v>
      </c>
      <c r="Q304" s="4">
        <v>134.91999999999999</v>
      </c>
      <c r="R304" s="5">
        <v>1220.72</v>
      </c>
      <c r="S304" s="5">
        <v>164699.54</v>
      </c>
      <c r="T304" s="6">
        <v>4.6899999999999997E-2</v>
      </c>
      <c r="U304" s="5">
        <v>156975.13</v>
      </c>
      <c r="V304" s="5">
        <v>9797.94</v>
      </c>
      <c r="W304" s="6">
        <v>9.8100000000000007E-2</v>
      </c>
      <c r="X304" s="5">
        <v>15399.26</v>
      </c>
      <c r="Y304" s="2" t="s">
        <v>75</v>
      </c>
      <c r="Z304" s="2" t="s">
        <v>70</v>
      </c>
      <c r="AA304" s="2" t="s">
        <v>35</v>
      </c>
    </row>
    <row r="305" spans="1:27">
      <c r="A305" s="2" t="s">
        <v>430</v>
      </c>
      <c r="B305" s="3">
        <v>45705</v>
      </c>
      <c r="C305" s="2">
        <v>2025</v>
      </c>
      <c r="D305" s="2" t="s">
        <v>113</v>
      </c>
      <c r="E305" s="2" t="s">
        <v>60</v>
      </c>
      <c r="F305" s="2" t="s">
        <v>86</v>
      </c>
      <c r="G305" s="2" t="s">
        <v>134</v>
      </c>
      <c r="H305" s="2" t="s">
        <v>73</v>
      </c>
      <c r="I305" s="2" t="s">
        <v>32</v>
      </c>
      <c r="J305" s="2" t="s">
        <v>53</v>
      </c>
      <c r="K305" s="2" t="s">
        <v>54</v>
      </c>
      <c r="L305" s="2" t="s">
        <v>54</v>
      </c>
      <c r="M305" s="2" t="s">
        <v>94</v>
      </c>
      <c r="N305" s="2">
        <v>66.8</v>
      </c>
      <c r="O305" s="2">
        <v>1849</v>
      </c>
      <c r="P305" s="2">
        <v>5.6</v>
      </c>
      <c r="Q305" s="4">
        <v>115.96</v>
      </c>
      <c r="R305" s="5">
        <v>1043.56</v>
      </c>
      <c r="S305" s="5">
        <v>121011.22</v>
      </c>
      <c r="T305" s="6">
        <v>4.0599999999999997E-2</v>
      </c>
      <c r="U305" s="5">
        <v>116098.16</v>
      </c>
      <c r="V305" s="5">
        <v>2138.15</v>
      </c>
      <c r="W305" s="6">
        <v>0.11219999999999999</v>
      </c>
      <c r="X305" s="5">
        <v>13026.21</v>
      </c>
      <c r="Y305" s="2" t="s">
        <v>75</v>
      </c>
      <c r="Z305" s="2" t="s">
        <v>46</v>
      </c>
      <c r="AA305" s="2" t="s">
        <v>35</v>
      </c>
    </row>
    <row r="306" spans="1:27">
      <c r="A306" s="2" t="s">
        <v>431</v>
      </c>
      <c r="B306" s="3">
        <v>45874</v>
      </c>
      <c r="C306" s="2">
        <v>2025</v>
      </c>
      <c r="D306" s="2" t="s">
        <v>27</v>
      </c>
      <c r="E306" s="2" t="s">
        <v>28</v>
      </c>
      <c r="F306" s="2" t="s">
        <v>29</v>
      </c>
      <c r="G306" s="2" t="s">
        <v>95</v>
      </c>
      <c r="H306" s="2" t="s">
        <v>63</v>
      </c>
      <c r="I306" s="2" t="s">
        <v>88</v>
      </c>
      <c r="J306" s="2" t="s">
        <v>127</v>
      </c>
      <c r="K306" s="2" t="s">
        <v>54</v>
      </c>
      <c r="L306" s="2" t="s">
        <v>54</v>
      </c>
      <c r="M306" s="2" t="s">
        <v>158</v>
      </c>
      <c r="N306" s="2">
        <v>10.6</v>
      </c>
      <c r="O306" s="2">
        <v>1258</v>
      </c>
      <c r="P306" s="2">
        <v>3.1</v>
      </c>
      <c r="Q306" s="4">
        <v>13.01</v>
      </c>
      <c r="R306" s="5">
        <v>1082.99</v>
      </c>
      <c r="S306" s="5">
        <v>14089.7</v>
      </c>
      <c r="T306" s="6">
        <v>1.3299999999999999E-2</v>
      </c>
      <c r="U306" s="5">
        <v>13902.31</v>
      </c>
      <c r="V306" s="5">
        <v>519.34</v>
      </c>
      <c r="W306" s="6">
        <v>0.112</v>
      </c>
      <c r="X306" s="5">
        <v>1557.06</v>
      </c>
      <c r="Y306" s="2" t="s">
        <v>69</v>
      </c>
      <c r="Z306" s="2" t="s">
        <v>89</v>
      </c>
      <c r="AA306" s="2" t="s">
        <v>35</v>
      </c>
    </row>
    <row r="307" spans="1:27">
      <c r="A307" s="2" t="s">
        <v>432</v>
      </c>
      <c r="B307" s="3">
        <v>45779</v>
      </c>
      <c r="C307" s="2">
        <v>2025</v>
      </c>
      <c r="D307" s="2" t="s">
        <v>81</v>
      </c>
      <c r="E307" s="2" t="s">
        <v>49</v>
      </c>
      <c r="F307" s="2" t="s">
        <v>50</v>
      </c>
      <c r="G307" s="2" t="s">
        <v>92</v>
      </c>
      <c r="H307" s="2" t="s">
        <v>63</v>
      </c>
      <c r="I307" s="2" t="s">
        <v>88</v>
      </c>
      <c r="J307" s="2" t="s">
        <v>65</v>
      </c>
      <c r="K307" s="2" t="s">
        <v>54</v>
      </c>
      <c r="L307" s="2" t="s">
        <v>54</v>
      </c>
      <c r="M307" s="2" t="s">
        <v>55</v>
      </c>
      <c r="N307" s="2">
        <v>64.75</v>
      </c>
      <c r="O307" s="2">
        <v>2784</v>
      </c>
      <c r="P307" s="2">
        <v>5.3</v>
      </c>
      <c r="Q307" s="4">
        <v>89.14</v>
      </c>
      <c r="R307" s="5">
        <v>1253.8900000000001</v>
      </c>
      <c r="S307" s="5">
        <v>111771.75</v>
      </c>
      <c r="T307" s="6">
        <v>3.9300000000000002E-2</v>
      </c>
      <c r="U307" s="5">
        <v>107379.12</v>
      </c>
      <c r="V307" s="5">
        <v>1729.65</v>
      </c>
      <c r="W307" s="6">
        <v>0.26929999999999998</v>
      </c>
      <c r="X307" s="5">
        <v>28917.200000000001</v>
      </c>
      <c r="Y307" s="2" t="s">
        <v>33</v>
      </c>
      <c r="Z307" s="2" t="s">
        <v>57</v>
      </c>
      <c r="AA307" s="2" t="s">
        <v>35</v>
      </c>
    </row>
    <row r="308" spans="1:27">
      <c r="A308" s="2" t="s">
        <v>433</v>
      </c>
      <c r="B308" s="3">
        <v>45799</v>
      </c>
      <c r="C308" s="2">
        <v>2025</v>
      </c>
      <c r="D308" s="2" t="s">
        <v>81</v>
      </c>
      <c r="E308" s="2" t="s">
        <v>49</v>
      </c>
      <c r="F308" s="2" t="s">
        <v>98</v>
      </c>
      <c r="G308" s="2" t="s">
        <v>135</v>
      </c>
      <c r="H308" s="2" t="s">
        <v>73</v>
      </c>
      <c r="I308" s="2" t="s">
        <v>41</v>
      </c>
      <c r="J308" s="2" t="s">
        <v>79</v>
      </c>
      <c r="K308" s="2" t="s">
        <v>43</v>
      </c>
      <c r="L308" s="2" t="s">
        <v>44</v>
      </c>
      <c r="M308" s="2" t="s">
        <v>171</v>
      </c>
      <c r="N308" s="2">
        <v>23.2</v>
      </c>
      <c r="O308" s="2">
        <v>32</v>
      </c>
      <c r="P308" s="2">
        <v>5.9</v>
      </c>
      <c r="Q308" s="4">
        <v>163.26</v>
      </c>
      <c r="R308" s="5">
        <v>791.45</v>
      </c>
      <c r="S308" s="5">
        <v>129212.13</v>
      </c>
      <c r="T308" s="6">
        <v>4.5999999999999999E-2</v>
      </c>
      <c r="U308" s="5">
        <v>123268.37</v>
      </c>
      <c r="V308" s="5">
        <v>6650.47</v>
      </c>
      <c r="W308" s="6">
        <v>0.16750000000000001</v>
      </c>
      <c r="X308" s="5">
        <v>20647.45</v>
      </c>
      <c r="Y308" s="2" t="s">
        <v>33</v>
      </c>
      <c r="Z308" s="2" t="s">
        <v>106</v>
      </c>
      <c r="AA308" s="2" t="s">
        <v>35</v>
      </c>
    </row>
    <row r="309" spans="1:27">
      <c r="A309" s="2" t="s">
        <v>434</v>
      </c>
      <c r="B309" s="3">
        <v>45784</v>
      </c>
      <c r="C309" s="2">
        <v>2025</v>
      </c>
      <c r="D309" s="2" t="s">
        <v>81</v>
      </c>
      <c r="E309" s="2" t="s">
        <v>49</v>
      </c>
      <c r="F309" s="2" t="s">
        <v>118</v>
      </c>
      <c r="G309" s="2" t="s">
        <v>121</v>
      </c>
      <c r="H309" s="2" t="s">
        <v>63</v>
      </c>
      <c r="I309" s="2" t="s">
        <v>93</v>
      </c>
      <c r="J309" s="2" t="s">
        <v>42</v>
      </c>
      <c r="K309" s="2" t="s">
        <v>100</v>
      </c>
      <c r="L309" s="2" t="s">
        <v>101</v>
      </c>
      <c r="M309" s="2" t="s">
        <v>108</v>
      </c>
      <c r="N309" s="2">
        <v>5.64</v>
      </c>
      <c r="O309" s="2">
        <v>104</v>
      </c>
      <c r="P309" s="2">
        <v>8.5</v>
      </c>
      <c r="Q309" s="4">
        <v>113.36</v>
      </c>
      <c r="R309" s="5">
        <v>1228.69</v>
      </c>
      <c r="S309" s="5">
        <v>139284.29999999999</v>
      </c>
      <c r="T309" s="6">
        <v>4.7300000000000002E-2</v>
      </c>
      <c r="U309" s="5">
        <v>132696.15</v>
      </c>
      <c r="V309" s="5">
        <v>3273.88</v>
      </c>
      <c r="W309" s="6">
        <v>0.18379999999999999</v>
      </c>
      <c r="X309" s="5">
        <v>24389.55</v>
      </c>
      <c r="Y309" s="2" t="s">
        <v>33</v>
      </c>
      <c r="Z309" s="2" t="s">
        <v>89</v>
      </c>
      <c r="AA309" s="2" t="s">
        <v>35</v>
      </c>
    </row>
    <row r="310" spans="1:27">
      <c r="A310" s="2" t="s">
        <v>435</v>
      </c>
      <c r="B310" s="3">
        <v>45810</v>
      </c>
      <c r="C310" s="2">
        <v>2025</v>
      </c>
      <c r="D310" s="2" t="s">
        <v>91</v>
      </c>
      <c r="E310" s="2" t="s">
        <v>49</v>
      </c>
      <c r="F310" s="2" t="s">
        <v>50</v>
      </c>
      <c r="G310" s="2" t="s">
        <v>105</v>
      </c>
      <c r="H310" s="2" t="s">
        <v>63</v>
      </c>
      <c r="I310" s="2" t="s">
        <v>93</v>
      </c>
      <c r="J310" s="2" t="s">
        <v>127</v>
      </c>
      <c r="K310" s="2" t="s">
        <v>54</v>
      </c>
      <c r="L310" s="2" t="s">
        <v>54</v>
      </c>
      <c r="M310" s="2" t="s">
        <v>55</v>
      </c>
      <c r="N310" s="2">
        <v>56.08</v>
      </c>
      <c r="O310" s="2">
        <v>2715</v>
      </c>
      <c r="P310" s="2">
        <v>7.8</v>
      </c>
      <c r="Q310" s="4">
        <v>87.92</v>
      </c>
      <c r="R310" s="5">
        <v>1309.28</v>
      </c>
      <c r="S310" s="5">
        <v>115111.9</v>
      </c>
      <c r="T310" s="6">
        <v>2.1399999999999999E-2</v>
      </c>
      <c r="U310" s="5">
        <v>112648.51</v>
      </c>
      <c r="V310" s="5">
        <v>2633.67</v>
      </c>
      <c r="W310" s="6">
        <v>0.20169999999999999</v>
      </c>
      <c r="X310" s="5">
        <v>22721.200000000001</v>
      </c>
      <c r="Y310" s="2" t="s">
        <v>56</v>
      </c>
      <c r="Z310" s="2" t="s">
        <v>70</v>
      </c>
      <c r="AA310" s="2" t="s">
        <v>35</v>
      </c>
    </row>
    <row r="311" spans="1:27">
      <c r="A311" s="2" t="s">
        <v>436</v>
      </c>
      <c r="B311" s="3">
        <v>45492</v>
      </c>
      <c r="C311" s="2">
        <v>2024</v>
      </c>
      <c r="D311" s="2" t="s">
        <v>104</v>
      </c>
      <c r="E311" s="2" t="s">
        <v>28</v>
      </c>
      <c r="F311" s="2" t="s">
        <v>86</v>
      </c>
      <c r="G311" s="2" t="s">
        <v>117</v>
      </c>
      <c r="H311" s="2" t="s">
        <v>40</v>
      </c>
      <c r="I311" s="2" t="s">
        <v>116</v>
      </c>
      <c r="J311" s="2" t="s">
        <v>42</v>
      </c>
      <c r="K311" s="2" t="s">
        <v>100</v>
      </c>
      <c r="L311" s="2" t="s">
        <v>101</v>
      </c>
      <c r="M311" s="2" t="s">
        <v>108</v>
      </c>
      <c r="N311" s="2">
        <v>7.75</v>
      </c>
      <c r="O311" s="2">
        <v>442</v>
      </c>
      <c r="P311" s="2">
        <v>11.6</v>
      </c>
      <c r="Q311" s="4">
        <v>189.74</v>
      </c>
      <c r="R311" s="5">
        <v>1063.08</v>
      </c>
      <c r="S311" s="5">
        <v>201708.79999999999</v>
      </c>
      <c r="T311" s="6">
        <v>5.5100000000000003E-2</v>
      </c>
      <c r="U311" s="5">
        <v>190594.65</v>
      </c>
      <c r="V311" s="5">
        <v>14041.18</v>
      </c>
      <c r="W311" s="6">
        <v>0.25729999999999997</v>
      </c>
      <c r="X311" s="5">
        <v>49040</v>
      </c>
      <c r="Y311" s="2" t="s">
        <v>83</v>
      </c>
      <c r="Z311" s="2" t="s">
        <v>80</v>
      </c>
      <c r="AA311" s="2" t="s">
        <v>35</v>
      </c>
    </row>
    <row r="312" spans="1:27">
      <c r="A312" s="2" t="s">
        <v>437</v>
      </c>
      <c r="B312" s="3">
        <v>45449</v>
      </c>
      <c r="C312" s="2">
        <v>2024</v>
      </c>
      <c r="D312" s="2" t="s">
        <v>91</v>
      </c>
      <c r="E312" s="2" t="s">
        <v>49</v>
      </c>
      <c r="F312" s="2" t="s">
        <v>50</v>
      </c>
      <c r="G312" s="2" t="s">
        <v>92</v>
      </c>
      <c r="H312" s="2" t="s">
        <v>40</v>
      </c>
      <c r="I312" s="2" t="s">
        <v>41</v>
      </c>
      <c r="J312" s="2" t="s">
        <v>65</v>
      </c>
      <c r="K312" s="2" t="s">
        <v>66</v>
      </c>
      <c r="L312" s="2" t="s">
        <v>67</v>
      </c>
      <c r="M312" s="2" t="s">
        <v>140</v>
      </c>
      <c r="N312" s="2">
        <v>8.9</v>
      </c>
      <c r="O312" s="2">
        <v>302</v>
      </c>
      <c r="P312" s="2">
        <v>6.9</v>
      </c>
      <c r="Q312" s="4">
        <v>88.4</v>
      </c>
      <c r="R312" s="5">
        <v>1523.83</v>
      </c>
      <c r="S312" s="5">
        <v>134706.57</v>
      </c>
      <c r="T312" s="6">
        <v>3.04E-2</v>
      </c>
      <c r="U312" s="5">
        <v>130611.49</v>
      </c>
      <c r="V312" s="5">
        <v>5469.68</v>
      </c>
      <c r="W312" s="6">
        <v>0.21659999999999999</v>
      </c>
      <c r="X312" s="5">
        <v>28290.45</v>
      </c>
      <c r="Y312" s="2" t="s">
        <v>83</v>
      </c>
      <c r="Z312" s="2" t="s">
        <v>34</v>
      </c>
      <c r="AA312" s="2" t="s">
        <v>35</v>
      </c>
    </row>
    <row r="313" spans="1:27">
      <c r="A313" s="2" t="s">
        <v>438</v>
      </c>
      <c r="B313" s="3">
        <v>45345</v>
      </c>
      <c r="C313" s="2">
        <v>2024</v>
      </c>
      <c r="D313" s="2" t="s">
        <v>113</v>
      </c>
      <c r="E313" s="2" t="s">
        <v>60</v>
      </c>
      <c r="F313" s="2" t="s">
        <v>118</v>
      </c>
      <c r="G313" s="2" t="s">
        <v>155</v>
      </c>
      <c r="H313" s="2" t="s">
        <v>40</v>
      </c>
      <c r="I313" s="2" t="s">
        <v>64</v>
      </c>
      <c r="J313" s="2" t="s">
        <v>65</v>
      </c>
      <c r="K313" s="2" t="s">
        <v>100</v>
      </c>
      <c r="L313" s="2" t="s">
        <v>101</v>
      </c>
      <c r="M313" s="2" t="s">
        <v>108</v>
      </c>
      <c r="N313" s="2">
        <v>4.9000000000000004</v>
      </c>
      <c r="O313" s="2">
        <v>276</v>
      </c>
      <c r="P313" s="2">
        <v>5.4</v>
      </c>
      <c r="Q313" s="4">
        <v>59.38</v>
      </c>
      <c r="R313" s="5">
        <v>1000.7</v>
      </c>
      <c r="S313" s="5">
        <v>59421.57</v>
      </c>
      <c r="T313" s="6">
        <v>4.2500000000000003E-2</v>
      </c>
      <c r="U313" s="5">
        <v>56896.15</v>
      </c>
      <c r="V313" s="5">
        <v>3106.22</v>
      </c>
      <c r="W313" s="6">
        <v>0.24049999999999999</v>
      </c>
      <c r="X313" s="5">
        <v>13683.52</v>
      </c>
      <c r="Y313" s="2" t="s">
        <v>56</v>
      </c>
      <c r="Z313" s="2" t="s">
        <v>57</v>
      </c>
      <c r="AA313" s="2" t="s">
        <v>35</v>
      </c>
    </row>
    <row r="314" spans="1:27">
      <c r="A314" s="2" t="s">
        <v>439</v>
      </c>
      <c r="B314" s="3">
        <v>45717</v>
      </c>
      <c r="C314" s="2">
        <v>2025</v>
      </c>
      <c r="D314" s="2" t="s">
        <v>59</v>
      </c>
      <c r="E314" s="2" t="s">
        <v>60</v>
      </c>
      <c r="F314" s="2" t="s">
        <v>29</v>
      </c>
      <c r="G314" s="2" t="s">
        <v>30</v>
      </c>
      <c r="H314" s="2" t="s">
        <v>63</v>
      </c>
      <c r="I314" s="2" t="s">
        <v>41</v>
      </c>
      <c r="J314" s="2" t="s">
        <v>127</v>
      </c>
      <c r="K314" s="2" t="s">
        <v>54</v>
      </c>
      <c r="L314" s="2" t="s">
        <v>54</v>
      </c>
      <c r="M314" s="2" t="s">
        <v>55</v>
      </c>
      <c r="N314" s="2">
        <v>32.49</v>
      </c>
      <c r="O314" s="2">
        <v>2589</v>
      </c>
      <c r="P314" s="2">
        <v>6.4</v>
      </c>
      <c r="Q314" s="4">
        <v>19.239999999999998</v>
      </c>
      <c r="R314" s="5">
        <v>1273.71</v>
      </c>
      <c r="S314" s="5">
        <v>24506.18</v>
      </c>
      <c r="T314" s="6">
        <v>1.8700000000000001E-2</v>
      </c>
      <c r="U314" s="5">
        <v>24047.91</v>
      </c>
      <c r="V314" s="5">
        <v>800.2</v>
      </c>
      <c r="W314" s="6">
        <v>0.18410000000000001</v>
      </c>
      <c r="X314" s="5">
        <v>4427.22</v>
      </c>
      <c r="Y314" s="2" t="s">
        <v>56</v>
      </c>
      <c r="Z314" s="2" t="s">
        <v>80</v>
      </c>
      <c r="AA314" s="2" t="s">
        <v>35</v>
      </c>
    </row>
    <row r="315" spans="1:27">
      <c r="A315" s="2" t="s">
        <v>440</v>
      </c>
      <c r="B315" s="3">
        <v>45951</v>
      </c>
      <c r="C315" s="2">
        <v>2025</v>
      </c>
      <c r="D315" s="2" t="s">
        <v>110</v>
      </c>
      <c r="E315" s="2" t="s">
        <v>77</v>
      </c>
      <c r="F315" s="2" t="s">
        <v>50</v>
      </c>
      <c r="G315" s="2" t="s">
        <v>105</v>
      </c>
      <c r="H315" s="2" t="s">
        <v>63</v>
      </c>
      <c r="I315" s="2" t="s">
        <v>41</v>
      </c>
      <c r="J315" s="2" t="s">
        <v>79</v>
      </c>
      <c r="K315" s="2" t="s">
        <v>100</v>
      </c>
      <c r="L315" s="2" t="s">
        <v>101</v>
      </c>
      <c r="M315" s="2" t="s">
        <v>145</v>
      </c>
      <c r="N315" s="2">
        <v>8.6999999999999993</v>
      </c>
      <c r="O315" s="2">
        <v>351</v>
      </c>
      <c r="P315" s="2">
        <v>5.6</v>
      </c>
      <c r="Q315" s="4">
        <v>123.41</v>
      </c>
      <c r="R315" s="5">
        <v>1288.44</v>
      </c>
      <c r="S315" s="5">
        <v>159006.38</v>
      </c>
      <c r="T315" s="6">
        <v>3.0499999999999999E-2</v>
      </c>
      <c r="U315" s="5">
        <v>154156.69</v>
      </c>
      <c r="V315" s="5">
        <v>3303.92</v>
      </c>
      <c r="W315" s="6">
        <v>0.11119999999999999</v>
      </c>
      <c r="X315" s="5">
        <v>17142.22</v>
      </c>
      <c r="Y315" s="2" t="s">
        <v>56</v>
      </c>
      <c r="Z315" s="2" t="s">
        <v>57</v>
      </c>
      <c r="AA315" s="2" t="s">
        <v>35</v>
      </c>
    </row>
    <row r="316" spans="1:27">
      <c r="A316" s="2" t="s">
        <v>441</v>
      </c>
      <c r="B316" s="3">
        <v>45362</v>
      </c>
      <c r="C316" s="2">
        <v>2024</v>
      </c>
      <c r="D316" s="2" t="s">
        <v>59</v>
      </c>
      <c r="E316" s="2" t="s">
        <v>60</v>
      </c>
      <c r="F316" s="2" t="s">
        <v>29</v>
      </c>
      <c r="G316" s="2" t="s">
        <v>78</v>
      </c>
      <c r="H316" s="2" t="s">
        <v>63</v>
      </c>
      <c r="I316" s="2" t="s">
        <v>52</v>
      </c>
      <c r="J316" s="2" t="s">
        <v>53</v>
      </c>
      <c r="K316" s="2" t="s">
        <v>54</v>
      </c>
      <c r="L316" s="2" t="s">
        <v>54</v>
      </c>
      <c r="M316" s="2" t="s">
        <v>94</v>
      </c>
      <c r="N316" s="2">
        <v>45.15</v>
      </c>
      <c r="O316" s="2">
        <v>2105</v>
      </c>
      <c r="P316" s="2">
        <v>4.7</v>
      </c>
      <c r="Q316" s="4">
        <v>23.59</v>
      </c>
      <c r="R316" s="5">
        <v>1212.43</v>
      </c>
      <c r="S316" s="5">
        <v>28601.22</v>
      </c>
      <c r="T316" s="6">
        <v>1.32E-2</v>
      </c>
      <c r="U316" s="5">
        <v>28223.68</v>
      </c>
      <c r="V316" s="5">
        <v>595.70000000000005</v>
      </c>
      <c r="W316" s="6">
        <v>0.1111</v>
      </c>
      <c r="X316" s="5">
        <v>3135.65</v>
      </c>
      <c r="Y316" s="2" t="s">
        <v>33</v>
      </c>
      <c r="Z316" s="2" t="s">
        <v>46</v>
      </c>
      <c r="AA316" s="2" t="s">
        <v>35</v>
      </c>
    </row>
    <row r="317" spans="1:27">
      <c r="A317" s="2" t="s">
        <v>442</v>
      </c>
      <c r="B317" s="3">
        <v>45596</v>
      </c>
      <c r="C317" s="2">
        <v>2024</v>
      </c>
      <c r="D317" s="2" t="s">
        <v>110</v>
      </c>
      <c r="E317" s="2" t="s">
        <v>77</v>
      </c>
      <c r="F317" s="2" t="s">
        <v>86</v>
      </c>
      <c r="G317" s="2" t="s">
        <v>117</v>
      </c>
      <c r="H317" s="2" t="s">
        <v>31</v>
      </c>
      <c r="I317" s="2" t="s">
        <v>93</v>
      </c>
      <c r="J317" s="2" t="s">
        <v>65</v>
      </c>
      <c r="K317" s="2" t="s">
        <v>100</v>
      </c>
      <c r="L317" s="2" t="s">
        <v>101</v>
      </c>
      <c r="M317" s="2" t="s">
        <v>108</v>
      </c>
      <c r="N317" s="2">
        <v>2.5</v>
      </c>
      <c r="O317" s="2">
        <v>592</v>
      </c>
      <c r="P317" s="2">
        <v>6.8</v>
      </c>
      <c r="Q317" s="4">
        <v>20.68</v>
      </c>
      <c r="R317" s="5">
        <v>1214.57</v>
      </c>
      <c r="S317" s="5">
        <v>25117.31</v>
      </c>
      <c r="T317" s="6">
        <v>4.4400000000000002E-2</v>
      </c>
      <c r="U317" s="5">
        <v>24002.1</v>
      </c>
      <c r="V317" s="5">
        <v>1314.56</v>
      </c>
      <c r="W317" s="6">
        <v>0.1646</v>
      </c>
      <c r="X317" s="5">
        <v>3950.75</v>
      </c>
      <c r="Y317" s="2" t="s">
        <v>33</v>
      </c>
      <c r="Z317" s="2" t="s">
        <v>70</v>
      </c>
      <c r="AA317" s="2" t="s">
        <v>35</v>
      </c>
    </row>
    <row r="318" spans="1:27">
      <c r="A318" s="2" t="s">
        <v>443</v>
      </c>
      <c r="B318" s="3">
        <v>45985</v>
      </c>
      <c r="C318" s="2">
        <v>2025</v>
      </c>
      <c r="D318" s="2" t="s">
        <v>76</v>
      </c>
      <c r="E318" s="2" t="s">
        <v>77</v>
      </c>
      <c r="F318" s="2" t="s">
        <v>98</v>
      </c>
      <c r="G318" s="2" t="s">
        <v>137</v>
      </c>
      <c r="H318" s="2" t="s">
        <v>31</v>
      </c>
      <c r="I318" s="2" t="s">
        <v>32</v>
      </c>
      <c r="J318" s="2" t="s">
        <v>53</v>
      </c>
      <c r="K318" s="2" t="s">
        <v>54</v>
      </c>
      <c r="L318" s="2" t="s">
        <v>54</v>
      </c>
      <c r="M318" s="2" t="s">
        <v>158</v>
      </c>
      <c r="N318" s="2">
        <v>32.25</v>
      </c>
      <c r="O318" s="2">
        <v>2884</v>
      </c>
      <c r="P318" s="2">
        <v>5.0999999999999996</v>
      </c>
      <c r="Q318" s="4">
        <v>63.51</v>
      </c>
      <c r="R318" s="5">
        <v>1135.67</v>
      </c>
      <c r="S318" s="5">
        <v>72126.399999999994</v>
      </c>
      <c r="T318" s="6">
        <v>3.7900000000000003E-2</v>
      </c>
      <c r="U318" s="5">
        <v>69392.81</v>
      </c>
      <c r="V318" s="5">
        <v>4955.9799999999996</v>
      </c>
      <c r="W318" s="6">
        <v>0.19950000000000001</v>
      </c>
      <c r="X318" s="5">
        <v>13843.87</v>
      </c>
      <c r="Y318" s="2" t="s">
        <v>69</v>
      </c>
      <c r="Z318" s="2" t="s">
        <v>125</v>
      </c>
      <c r="AA318" s="2" t="s">
        <v>35</v>
      </c>
    </row>
    <row r="319" spans="1:27">
      <c r="A319" s="2" t="s">
        <v>444</v>
      </c>
      <c r="B319" s="3">
        <v>45385</v>
      </c>
      <c r="C319" s="2">
        <v>2024</v>
      </c>
      <c r="D319" s="2" t="s">
        <v>48</v>
      </c>
      <c r="E319" s="2" t="s">
        <v>49</v>
      </c>
      <c r="F319" s="2" t="s">
        <v>98</v>
      </c>
      <c r="G319" s="2" t="s">
        <v>99</v>
      </c>
      <c r="H319" s="2" t="s">
        <v>63</v>
      </c>
      <c r="I319" s="2" t="s">
        <v>41</v>
      </c>
      <c r="J319" s="2" t="s">
        <v>65</v>
      </c>
      <c r="K319" s="2" t="s">
        <v>100</v>
      </c>
      <c r="L319" s="2" t="s">
        <v>101</v>
      </c>
      <c r="M319" s="2" t="s">
        <v>102</v>
      </c>
      <c r="N319" s="2">
        <v>11.34</v>
      </c>
      <c r="O319" s="2">
        <v>576</v>
      </c>
      <c r="P319" s="2">
        <v>8</v>
      </c>
      <c r="Q319" s="4">
        <v>61.47</v>
      </c>
      <c r="R319" s="5">
        <v>1139.29</v>
      </c>
      <c r="S319" s="5">
        <v>70032.160000000003</v>
      </c>
      <c r="T319" s="6">
        <v>1.61E-2</v>
      </c>
      <c r="U319" s="5">
        <v>68904.639999999999</v>
      </c>
      <c r="V319" s="5">
        <v>1341.34</v>
      </c>
      <c r="W319" s="6">
        <v>0.19900000000000001</v>
      </c>
      <c r="X319" s="5">
        <v>13712.02</v>
      </c>
      <c r="Y319" s="2" t="s">
        <v>33</v>
      </c>
      <c r="Z319" s="2" t="s">
        <v>70</v>
      </c>
      <c r="AA319" s="2" t="s">
        <v>35</v>
      </c>
    </row>
    <row r="320" spans="1:27">
      <c r="A320" s="2" t="s">
        <v>445</v>
      </c>
      <c r="B320" s="3">
        <v>46002</v>
      </c>
      <c r="C320" s="2">
        <v>2025</v>
      </c>
      <c r="D320" s="2" t="s">
        <v>97</v>
      </c>
      <c r="E320" s="2" t="s">
        <v>77</v>
      </c>
      <c r="F320" s="2" t="s">
        <v>50</v>
      </c>
      <c r="G320" s="2" t="s">
        <v>115</v>
      </c>
      <c r="H320" s="2" t="s">
        <v>63</v>
      </c>
      <c r="I320" s="2" t="s">
        <v>93</v>
      </c>
      <c r="J320" s="2" t="s">
        <v>65</v>
      </c>
      <c r="K320" s="2" t="s">
        <v>54</v>
      </c>
      <c r="L320" s="2" t="s">
        <v>54</v>
      </c>
      <c r="M320" s="2" t="s">
        <v>94</v>
      </c>
      <c r="N320" s="2">
        <v>49.91</v>
      </c>
      <c r="O320" s="2">
        <v>1785</v>
      </c>
      <c r="P320" s="2">
        <v>4.5</v>
      </c>
      <c r="Q320" s="4">
        <v>20.54</v>
      </c>
      <c r="R320" s="5">
        <v>1239.22</v>
      </c>
      <c r="S320" s="5">
        <v>25453.58</v>
      </c>
      <c r="T320" s="6">
        <v>3.95E-2</v>
      </c>
      <c r="U320" s="5">
        <v>24448.16</v>
      </c>
      <c r="V320" s="5">
        <v>764.04</v>
      </c>
      <c r="W320" s="6">
        <v>0.21490000000000001</v>
      </c>
      <c r="X320" s="5">
        <v>5253.91</v>
      </c>
      <c r="Y320" s="2" t="s">
        <v>83</v>
      </c>
      <c r="Z320" s="2" t="s">
        <v>80</v>
      </c>
      <c r="AA320" s="2" t="s">
        <v>35</v>
      </c>
    </row>
    <row r="321" spans="1:27">
      <c r="A321" s="2" t="s">
        <v>446</v>
      </c>
      <c r="B321" s="3">
        <v>45589</v>
      </c>
      <c r="C321" s="2">
        <v>2024</v>
      </c>
      <c r="D321" s="2" t="s">
        <v>110</v>
      </c>
      <c r="E321" s="2" t="s">
        <v>77</v>
      </c>
      <c r="F321" s="2" t="s">
        <v>118</v>
      </c>
      <c r="G321" s="2" t="s">
        <v>155</v>
      </c>
      <c r="H321" s="2" t="s">
        <v>40</v>
      </c>
      <c r="I321" s="2" t="s">
        <v>116</v>
      </c>
      <c r="J321" s="2" t="s">
        <v>127</v>
      </c>
      <c r="K321" s="2" t="s">
        <v>54</v>
      </c>
      <c r="L321" s="2" t="s">
        <v>54</v>
      </c>
      <c r="M321" s="2" t="s">
        <v>55</v>
      </c>
      <c r="N321" s="2">
        <v>39.89</v>
      </c>
      <c r="O321" s="2">
        <v>2058</v>
      </c>
      <c r="P321" s="2">
        <v>5.4</v>
      </c>
      <c r="Q321" s="4">
        <v>236.95</v>
      </c>
      <c r="R321" s="5">
        <v>1078.82</v>
      </c>
      <c r="S321" s="5">
        <v>255626.4</v>
      </c>
      <c r="T321" s="6">
        <v>3.9899999999999998E-2</v>
      </c>
      <c r="U321" s="5">
        <v>245426.91</v>
      </c>
      <c r="V321" s="5">
        <v>14489.91</v>
      </c>
      <c r="W321" s="6">
        <v>0.1429</v>
      </c>
      <c r="X321" s="5">
        <v>35071.51</v>
      </c>
      <c r="Y321" s="2" t="s">
        <v>75</v>
      </c>
      <c r="Z321" s="2" t="s">
        <v>80</v>
      </c>
      <c r="AA321" s="2" t="s">
        <v>35</v>
      </c>
    </row>
    <row r="322" spans="1:27">
      <c r="A322" s="2" t="s">
        <v>447</v>
      </c>
      <c r="B322" s="3">
        <v>45739</v>
      </c>
      <c r="C322" s="2">
        <v>2025</v>
      </c>
      <c r="D322" s="2" t="s">
        <v>59</v>
      </c>
      <c r="E322" s="2" t="s">
        <v>60</v>
      </c>
      <c r="F322" s="2" t="s">
        <v>118</v>
      </c>
      <c r="G322" s="2" t="s">
        <v>119</v>
      </c>
      <c r="H322" s="2" t="s">
        <v>31</v>
      </c>
      <c r="I322" s="2" t="s">
        <v>93</v>
      </c>
      <c r="J322" s="2" t="s">
        <v>42</v>
      </c>
      <c r="K322" s="2" t="s">
        <v>43</v>
      </c>
      <c r="L322" s="2" t="s">
        <v>44</v>
      </c>
      <c r="M322" s="2" t="s">
        <v>85</v>
      </c>
      <c r="N322" s="2">
        <v>25.81</v>
      </c>
      <c r="O322" s="2">
        <v>39</v>
      </c>
      <c r="P322" s="2">
        <v>10.9</v>
      </c>
      <c r="Q322" s="4">
        <v>195.67</v>
      </c>
      <c r="R322" s="5">
        <v>691.93</v>
      </c>
      <c r="S322" s="5">
        <v>135389.94</v>
      </c>
      <c r="T322" s="6">
        <v>5.9299999999999999E-2</v>
      </c>
      <c r="U322" s="5">
        <v>127361.32</v>
      </c>
      <c r="V322" s="5">
        <v>16565.939999999999</v>
      </c>
      <c r="W322" s="6">
        <v>0.16650000000000001</v>
      </c>
      <c r="X322" s="5">
        <v>21205.66</v>
      </c>
      <c r="Y322" s="2" t="s">
        <v>33</v>
      </c>
      <c r="Z322" s="2" t="s">
        <v>70</v>
      </c>
      <c r="AA322" s="2" t="s">
        <v>35</v>
      </c>
    </row>
    <row r="323" spans="1:27">
      <c r="A323" s="2" t="s">
        <v>448</v>
      </c>
      <c r="B323" s="3">
        <v>45348</v>
      </c>
      <c r="C323" s="2">
        <v>2024</v>
      </c>
      <c r="D323" s="2" t="s">
        <v>113</v>
      </c>
      <c r="E323" s="2" t="s">
        <v>60</v>
      </c>
      <c r="F323" s="2" t="s">
        <v>61</v>
      </c>
      <c r="G323" s="2" t="s">
        <v>132</v>
      </c>
      <c r="H323" s="2" t="s">
        <v>31</v>
      </c>
      <c r="I323" s="2" t="s">
        <v>116</v>
      </c>
      <c r="J323" s="2" t="s">
        <v>65</v>
      </c>
      <c r="K323" s="2" t="s">
        <v>54</v>
      </c>
      <c r="L323" s="2" t="s">
        <v>54</v>
      </c>
      <c r="M323" s="2" t="s">
        <v>158</v>
      </c>
      <c r="N323" s="2">
        <v>6.72</v>
      </c>
      <c r="O323" s="2">
        <v>2782</v>
      </c>
      <c r="P323" s="2">
        <v>6.1</v>
      </c>
      <c r="Q323" s="4">
        <v>168.06</v>
      </c>
      <c r="R323" s="5">
        <v>1069.3399999999999</v>
      </c>
      <c r="S323" s="5">
        <v>179713.28</v>
      </c>
      <c r="T323" s="6">
        <v>1.9599999999999999E-2</v>
      </c>
      <c r="U323" s="5">
        <v>176190.9</v>
      </c>
      <c r="V323" s="5">
        <v>9359.08</v>
      </c>
      <c r="W323" s="6">
        <v>0.15770000000000001</v>
      </c>
      <c r="X323" s="5">
        <v>27785.3</v>
      </c>
      <c r="Y323" s="2" t="s">
        <v>75</v>
      </c>
      <c r="Z323" s="2" t="s">
        <v>106</v>
      </c>
      <c r="AA323" s="2" t="s">
        <v>35</v>
      </c>
    </row>
    <row r="324" spans="1:27">
      <c r="A324" s="2" t="s">
        <v>449</v>
      </c>
      <c r="B324" s="3">
        <v>45441</v>
      </c>
      <c r="C324" s="2">
        <v>2024</v>
      </c>
      <c r="D324" s="2" t="s">
        <v>81</v>
      </c>
      <c r="E324" s="2" t="s">
        <v>49</v>
      </c>
      <c r="F324" s="2" t="s">
        <v>98</v>
      </c>
      <c r="G324" s="2" t="s">
        <v>135</v>
      </c>
      <c r="H324" s="2" t="s">
        <v>40</v>
      </c>
      <c r="I324" s="2" t="s">
        <v>41</v>
      </c>
      <c r="J324" s="2" t="s">
        <v>65</v>
      </c>
      <c r="K324" s="2" t="s">
        <v>66</v>
      </c>
      <c r="L324" s="2" t="s">
        <v>67</v>
      </c>
      <c r="M324" s="2" t="s">
        <v>122</v>
      </c>
      <c r="N324" s="2">
        <v>6.67</v>
      </c>
      <c r="O324" s="2">
        <v>110</v>
      </c>
      <c r="P324" s="2">
        <v>6.9</v>
      </c>
      <c r="Q324" s="4">
        <v>207.28</v>
      </c>
      <c r="R324" s="5">
        <v>1584.83</v>
      </c>
      <c r="S324" s="5">
        <v>328503.56</v>
      </c>
      <c r="T324" s="6">
        <v>4.3200000000000002E-2</v>
      </c>
      <c r="U324" s="5">
        <v>314312.21000000002</v>
      </c>
      <c r="V324" s="5">
        <v>14593.09</v>
      </c>
      <c r="W324" s="6">
        <v>0.2581</v>
      </c>
      <c r="X324" s="5">
        <v>81123.98</v>
      </c>
      <c r="Y324" s="2" t="s">
        <v>83</v>
      </c>
      <c r="Z324" s="2" t="s">
        <v>80</v>
      </c>
      <c r="AA324" s="2" t="s">
        <v>35</v>
      </c>
    </row>
    <row r="325" spans="1:27">
      <c r="A325" s="2" t="s">
        <v>450</v>
      </c>
      <c r="B325" s="3">
        <v>45973</v>
      </c>
      <c r="C325" s="2">
        <v>2025</v>
      </c>
      <c r="D325" s="2" t="s">
        <v>76</v>
      </c>
      <c r="E325" s="2" t="s">
        <v>77</v>
      </c>
      <c r="F325" s="2" t="s">
        <v>98</v>
      </c>
      <c r="G325" s="2" t="s">
        <v>137</v>
      </c>
      <c r="H325" s="2" t="s">
        <v>63</v>
      </c>
      <c r="I325" s="2" t="s">
        <v>116</v>
      </c>
      <c r="J325" s="2" t="s">
        <v>65</v>
      </c>
      <c r="K325" s="2" t="s">
        <v>66</v>
      </c>
      <c r="L325" s="2" t="s">
        <v>67</v>
      </c>
      <c r="M325" s="2" t="s">
        <v>152</v>
      </c>
      <c r="N325" s="2">
        <v>11.48</v>
      </c>
      <c r="O325" s="2">
        <v>305</v>
      </c>
      <c r="P325" s="2">
        <v>5.3</v>
      </c>
      <c r="Q325" s="4">
        <v>68.09</v>
      </c>
      <c r="R325" s="5">
        <v>1650.49</v>
      </c>
      <c r="S325" s="5">
        <v>112381.86</v>
      </c>
      <c r="T325" s="6">
        <v>4.0899999999999999E-2</v>
      </c>
      <c r="U325" s="5">
        <v>107785.44</v>
      </c>
      <c r="V325" s="5">
        <v>2192.62</v>
      </c>
      <c r="W325" s="6">
        <v>0.21820000000000001</v>
      </c>
      <c r="X325" s="5">
        <v>23518.78</v>
      </c>
      <c r="Y325" s="2" t="s">
        <v>56</v>
      </c>
      <c r="Z325" s="2" t="s">
        <v>46</v>
      </c>
      <c r="AA325" s="2" t="s">
        <v>35</v>
      </c>
    </row>
    <row r="326" spans="1:27">
      <c r="A326" s="2" t="s">
        <v>451</v>
      </c>
      <c r="B326" s="3">
        <v>45396</v>
      </c>
      <c r="C326" s="2">
        <v>2024</v>
      </c>
      <c r="D326" s="2" t="s">
        <v>48</v>
      </c>
      <c r="E326" s="2" t="s">
        <v>49</v>
      </c>
      <c r="F326" s="2" t="s">
        <v>118</v>
      </c>
      <c r="G326" s="2" t="s">
        <v>121</v>
      </c>
      <c r="H326" s="2" t="s">
        <v>63</v>
      </c>
      <c r="I326" s="2" t="s">
        <v>93</v>
      </c>
      <c r="J326" s="2" t="s">
        <v>65</v>
      </c>
      <c r="K326" s="2" t="s">
        <v>66</v>
      </c>
      <c r="L326" s="2" t="s">
        <v>67</v>
      </c>
      <c r="M326" s="2" t="s">
        <v>122</v>
      </c>
      <c r="N326" s="2">
        <v>16.760000000000002</v>
      </c>
      <c r="O326" s="2">
        <v>329</v>
      </c>
      <c r="P326" s="2">
        <v>8.6</v>
      </c>
      <c r="Q326" s="4">
        <v>164.47</v>
      </c>
      <c r="R326" s="5">
        <v>1496.92</v>
      </c>
      <c r="S326" s="5">
        <v>246198.43</v>
      </c>
      <c r="T326" s="6">
        <v>2.9399999999999999E-2</v>
      </c>
      <c r="U326" s="5">
        <v>238960.2</v>
      </c>
      <c r="V326" s="5">
        <v>3270.03</v>
      </c>
      <c r="W326" s="6">
        <v>0.25269999999999998</v>
      </c>
      <c r="X326" s="5">
        <v>60385.24</v>
      </c>
      <c r="Y326" s="2" t="s">
        <v>83</v>
      </c>
      <c r="Z326" s="2" t="s">
        <v>89</v>
      </c>
      <c r="AA326" s="2" t="s">
        <v>35</v>
      </c>
    </row>
    <row r="327" spans="1:27">
      <c r="A327" s="2" t="s">
        <v>452</v>
      </c>
      <c r="B327" s="3">
        <v>45506</v>
      </c>
      <c r="C327" s="2">
        <v>2024</v>
      </c>
      <c r="D327" s="2" t="s">
        <v>27</v>
      </c>
      <c r="E327" s="2" t="s">
        <v>28</v>
      </c>
      <c r="F327" s="2" t="s">
        <v>38</v>
      </c>
      <c r="G327" s="2" t="s">
        <v>82</v>
      </c>
      <c r="H327" s="2" t="s">
        <v>63</v>
      </c>
      <c r="I327" s="2" t="s">
        <v>52</v>
      </c>
      <c r="J327" s="2" t="s">
        <v>65</v>
      </c>
      <c r="K327" s="2" t="s">
        <v>100</v>
      </c>
      <c r="L327" s="2" t="s">
        <v>101</v>
      </c>
      <c r="M327" s="2" t="s">
        <v>129</v>
      </c>
      <c r="N327" s="2">
        <v>11.13</v>
      </c>
      <c r="O327" s="2">
        <v>121</v>
      </c>
      <c r="P327" s="2">
        <v>10</v>
      </c>
      <c r="Q327" s="4">
        <v>158.69999999999999</v>
      </c>
      <c r="R327" s="5">
        <v>1058.21</v>
      </c>
      <c r="S327" s="5">
        <v>167937.93</v>
      </c>
      <c r="T327" s="6">
        <v>2.1399999999999999E-2</v>
      </c>
      <c r="U327" s="5">
        <v>164344.06</v>
      </c>
      <c r="V327" s="5">
        <v>4249.0200000000004</v>
      </c>
      <c r="W327" s="6">
        <v>0.16919999999999999</v>
      </c>
      <c r="X327" s="5">
        <v>27807.01</v>
      </c>
      <c r="Y327" s="2" t="s">
        <v>75</v>
      </c>
      <c r="Z327" s="2" t="s">
        <v>106</v>
      </c>
      <c r="AA327" s="2" t="s">
        <v>35</v>
      </c>
    </row>
    <row r="328" spans="1:27">
      <c r="A328" s="2" t="s">
        <v>453</v>
      </c>
      <c r="B328" s="3">
        <v>45620</v>
      </c>
      <c r="C328" s="2">
        <v>2024</v>
      </c>
      <c r="D328" s="2" t="s">
        <v>76</v>
      </c>
      <c r="E328" s="2" t="s">
        <v>77</v>
      </c>
      <c r="F328" s="2" t="s">
        <v>98</v>
      </c>
      <c r="G328" s="2" t="s">
        <v>135</v>
      </c>
      <c r="H328" s="2" t="s">
        <v>31</v>
      </c>
      <c r="I328" s="2" t="s">
        <v>41</v>
      </c>
      <c r="J328" s="2" t="s">
        <v>53</v>
      </c>
      <c r="K328" s="2" t="s">
        <v>54</v>
      </c>
      <c r="L328" s="2" t="s">
        <v>54</v>
      </c>
      <c r="M328" s="2" t="s">
        <v>94</v>
      </c>
      <c r="N328" s="2">
        <v>43.04</v>
      </c>
      <c r="O328" s="2">
        <v>1724</v>
      </c>
      <c r="P328" s="2">
        <v>5.4</v>
      </c>
      <c r="Q328" s="4">
        <v>205.96</v>
      </c>
      <c r="R328" s="5">
        <v>1207.1199999999999</v>
      </c>
      <c r="S328" s="5">
        <v>248618.44</v>
      </c>
      <c r="T328" s="6">
        <v>4.1099999999999998E-2</v>
      </c>
      <c r="U328" s="5">
        <v>238400.22</v>
      </c>
      <c r="V328" s="5">
        <v>12556.39</v>
      </c>
      <c r="W328" s="6">
        <v>0.18160000000000001</v>
      </c>
      <c r="X328" s="5">
        <v>43293.48</v>
      </c>
      <c r="Y328" s="2" t="s">
        <v>75</v>
      </c>
      <c r="Z328" s="2" t="s">
        <v>125</v>
      </c>
      <c r="AA328" s="2" t="s">
        <v>35</v>
      </c>
    </row>
    <row r="329" spans="1:27">
      <c r="A329" s="2" t="s">
        <v>454</v>
      </c>
      <c r="B329" s="3">
        <v>45510</v>
      </c>
      <c r="C329" s="2">
        <v>2024</v>
      </c>
      <c r="D329" s="2" t="s">
        <v>27</v>
      </c>
      <c r="E329" s="2" t="s">
        <v>28</v>
      </c>
      <c r="F329" s="2" t="s">
        <v>29</v>
      </c>
      <c r="G329" s="2" t="s">
        <v>30</v>
      </c>
      <c r="H329" s="2" t="s">
        <v>40</v>
      </c>
      <c r="I329" s="2" t="s">
        <v>52</v>
      </c>
      <c r="J329" s="2" t="s">
        <v>79</v>
      </c>
      <c r="K329" s="2" t="s">
        <v>100</v>
      </c>
      <c r="L329" s="2" t="s">
        <v>101</v>
      </c>
      <c r="M329" s="2" t="s">
        <v>102</v>
      </c>
      <c r="N329" s="2">
        <v>7.41</v>
      </c>
      <c r="O329" s="2">
        <v>525</v>
      </c>
      <c r="P329" s="2">
        <v>5.4</v>
      </c>
      <c r="Q329" s="4">
        <v>104.92</v>
      </c>
      <c r="R329" s="5">
        <v>1222.8800000000001</v>
      </c>
      <c r="S329" s="5">
        <v>128304.57</v>
      </c>
      <c r="T329" s="6">
        <v>3.1300000000000001E-2</v>
      </c>
      <c r="U329" s="5">
        <v>124288.64</v>
      </c>
      <c r="V329" s="5">
        <v>8503.5400000000009</v>
      </c>
      <c r="W329" s="6">
        <v>0.17879999999999999</v>
      </c>
      <c r="X329" s="5">
        <v>22222.81</v>
      </c>
      <c r="Y329" s="2" t="s">
        <v>33</v>
      </c>
      <c r="Z329" s="2" t="s">
        <v>46</v>
      </c>
      <c r="AA329" s="2" t="s">
        <v>35</v>
      </c>
    </row>
    <row r="330" spans="1:27">
      <c r="A330" s="2" t="s">
        <v>455</v>
      </c>
      <c r="B330" s="3">
        <v>45378</v>
      </c>
      <c r="C330" s="2">
        <v>2024</v>
      </c>
      <c r="D330" s="2" t="s">
        <v>59</v>
      </c>
      <c r="E330" s="2" t="s">
        <v>60</v>
      </c>
      <c r="F330" s="2" t="s">
        <v>50</v>
      </c>
      <c r="G330" s="2" t="s">
        <v>92</v>
      </c>
      <c r="H330" s="2" t="s">
        <v>73</v>
      </c>
      <c r="I330" s="2" t="s">
        <v>116</v>
      </c>
      <c r="J330" s="2" t="s">
        <v>65</v>
      </c>
      <c r="K330" s="2" t="s">
        <v>66</v>
      </c>
      <c r="L330" s="2" t="s">
        <v>67</v>
      </c>
      <c r="M330" s="2" t="s">
        <v>152</v>
      </c>
      <c r="N330" s="2">
        <v>17</v>
      </c>
      <c r="O330" s="2">
        <v>186</v>
      </c>
      <c r="P330" s="2">
        <v>9.6</v>
      </c>
      <c r="Q330" s="4">
        <v>41.15</v>
      </c>
      <c r="R330" s="5">
        <v>1747.95</v>
      </c>
      <c r="S330" s="5">
        <v>71928.14</v>
      </c>
      <c r="T330" s="6">
        <v>1.9099999999999999E-2</v>
      </c>
      <c r="U330" s="5">
        <v>70554.31</v>
      </c>
      <c r="V330" s="5">
        <v>1255.99</v>
      </c>
      <c r="W330" s="6">
        <v>0.24010000000000001</v>
      </c>
      <c r="X330" s="5">
        <v>16940.09</v>
      </c>
      <c r="Y330" s="2" t="s">
        <v>33</v>
      </c>
      <c r="Z330" s="2" t="s">
        <v>70</v>
      </c>
      <c r="AA330" s="2" t="s">
        <v>35</v>
      </c>
    </row>
    <row r="331" spans="1:27">
      <c r="A331" s="2" t="s">
        <v>456</v>
      </c>
      <c r="B331" s="3">
        <v>45328</v>
      </c>
      <c r="C331" s="2">
        <v>2024</v>
      </c>
      <c r="D331" s="2" t="s">
        <v>113</v>
      </c>
      <c r="E331" s="2" t="s">
        <v>60</v>
      </c>
      <c r="F331" s="2" t="s">
        <v>86</v>
      </c>
      <c r="G331" s="2" t="s">
        <v>87</v>
      </c>
      <c r="H331" s="2" t="s">
        <v>40</v>
      </c>
      <c r="I331" s="2" t="s">
        <v>74</v>
      </c>
      <c r="J331" s="2" t="s">
        <v>79</v>
      </c>
      <c r="K331" s="2" t="s">
        <v>43</v>
      </c>
      <c r="L331" s="2" t="s">
        <v>44</v>
      </c>
      <c r="M331" s="2" t="s">
        <v>85</v>
      </c>
      <c r="N331" s="2">
        <v>21.89</v>
      </c>
      <c r="O331" s="2">
        <v>21</v>
      </c>
      <c r="P331" s="2">
        <v>8.1</v>
      </c>
      <c r="Q331" s="4">
        <v>215.91</v>
      </c>
      <c r="R331" s="5">
        <v>638.98</v>
      </c>
      <c r="S331" s="5">
        <v>137962.17000000001</v>
      </c>
      <c r="T331" s="6">
        <v>3.7699999999999997E-2</v>
      </c>
      <c r="U331" s="5">
        <v>132761</v>
      </c>
      <c r="V331" s="5">
        <v>20765.13</v>
      </c>
      <c r="W331" s="6">
        <v>0.2263</v>
      </c>
      <c r="X331" s="5">
        <v>30043.81</v>
      </c>
      <c r="Y331" s="2" t="s">
        <v>69</v>
      </c>
      <c r="Z331" s="2" t="s">
        <v>70</v>
      </c>
      <c r="AA331" s="2" t="s">
        <v>35</v>
      </c>
    </row>
    <row r="332" spans="1:27">
      <c r="A332" s="2" t="s">
        <v>457</v>
      </c>
      <c r="B332" s="3">
        <v>45333</v>
      </c>
      <c r="C332" s="2">
        <v>2024</v>
      </c>
      <c r="D332" s="2" t="s">
        <v>113</v>
      </c>
      <c r="E332" s="2" t="s">
        <v>60</v>
      </c>
      <c r="F332" s="2" t="s">
        <v>50</v>
      </c>
      <c r="G332" s="2" t="s">
        <v>105</v>
      </c>
      <c r="H332" s="2" t="s">
        <v>31</v>
      </c>
      <c r="I332" s="2" t="s">
        <v>64</v>
      </c>
      <c r="J332" s="2" t="s">
        <v>127</v>
      </c>
      <c r="K332" s="2" t="s">
        <v>54</v>
      </c>
      <c r="L332" s="2" t="s">
        <v>54</v>
      </c>
      <c r="M332" s="2" t="s">
        <v>94</v>
      </c>
      <c r="N332" s="2">
        <v>26.35</v>
      </c>
      <c r="O332" s="2">
        <v>2912</v>
      </c>
      <c r="P332" s="2">
        <v>7.5</v>
      </c>
      <c r="Q332" s="4">
        <v>197.05</v>
      </c>
      <c r="R332" s="5">
        <v>1048.43</v>
      </c>
      <c r="S332" s="5">
        <v>206593.13</v>
      </c>
      <c r="T332" s="6">
        <v>4.0899999999999999E-2</v>
      </c>
      <c r="U332" s="5">
        <v>198143.47</v>
      </c>
      <c r="V332" s="5">
        <v>13076.99</v>
      </c>
      <c r="W332" s="6">
        <v>0.2271</v>
      </c>
      <c r="X332" s="5">
        <v>44998.38</v>
      </c>
      <c r="Y332" s="2" t="s">
        <v>33</v>
      </c>
      <c r="Z332" s="2" t="s">
        <v>106</v>
      </c>
      <c r="AA332" s="2" t="s">
        <v>35</v>
      </c>
    </row>
    <row r="333" spans="1:27">
      <c r="A333" s="2" t="s">
        <v>458</v>
      </c>
      <c r="B333" s="3">
        <v>45345</v>
      </c>
      <c r="C333" s="2">
        <v>2024</v>
      </c>
      <c r="D333" s="2" t="s">
        <v>113</v>
      </c>
      <c r="E333" s="2" t="s">
        <v>60</v>
      </c>
      <c r="F333" s="2" t="s">
        <v>38</v>
      </c>
      <c r="G333" s="2" t="s">
        <v>72</v>
      </c>
      <c r="H333" s="2" t="s">
        <v>40</v>
      </c>
      <c r="I333" s="2" t="s">
        <v>88</v>
      </c>
      <c r="J333" s="2" t="s">
        <v>65</v>
      </c>
      <c r="K333" s="2" t="s">
        <v>100</v>
      </c>
      <c r="L333" s="2" t="s">
        <v>101</v>
      </c>
      <c r="M333" s="2" t="s">
        <v>102</v>
      </c>
      <c r="N333" s="2">
        <v>3.29</v>
      </c>
      <c r="O333" s="2">
        <v>196</v>
      </c>
      <c r="P333" s="2">
        <v>7.8</v>
      </c>
      <c r="Q333" s="4">
        <v>141.71</v>
      </c>
      <c r="R333" s="5">
        <v>1207.67</v>
      </c>
      <c r="S333" s="5">
        <v>171138.92</v>
      </c>
      <c r="T333" s="6">
        <v>2.6100000000000002E-2</v>
      </c>
      <c r="U333" s="5">
        <v>166672.19</v>
      </c>
      <c r="V333" s="5">
        <v>10426.68</v>
      </c>
      <c r="W333" s="6">
        <v>0.23630000000000001</v>
      </c>
      <c r="X333" s="5">
        <v>39384.639999999999</v>
      </c>
      <c r="Y333" s="2" t="s">
        <v>83</v>
      </c>
      <c r="Z333" s="2" t="s">
        <v>106</v>
      </c>
      <c r="AA333" s="2" t="s">
        <v>35</v>
      </c>
    </row>
    <row r="334" spans="1:27">
      <c r="A334" s="2" t="s">
        <v>459</v>
      </c>
      <c r="B334" s="3">
        <v>45999</v>
      </c>
      <c r="C334" s="2">
        <v>2025</v>
      </c>
      <c r="D334" s="2" t="s">
        <v>97</v>
      </c>
      <c r="E334" s="2" t="s">
        <v>77</v>
      </c>
      <c r="F334" s="2" t="s">
        <v>61</v>
      </c>
      <c r="G334" s="2" t="s">
        <v>132</v>
      </c>
      <c r="H334" s="2" t="s">
        <v>63</v>
      </c>
      <c r="I334" s="2" t="s">
        <v>88</v>
      </c>
      <c r="J334" s="2" t="s">
        <v>65</v>
      </c>
      <c r="K334" s="2" t="s">
        <v>66</v>
      </c>
      <c r="L334" s="2" t="s">
        <v>67</v>
      </c>
      <c r="M334" s="2" t="s">
        <v>68</v>
      </c>
      <c r="N334" s="2">
        <v>5.83</v>
      </c>
      <c r="O334" s="2">
        <v>87</v>
      </c>
      <c r="P334" s="2">
        <v>5.5</v>
      </c>
      <c r="Q334" s="4">
        <v>52.03</v>
      </c>
      <c r="R334" s="5">
        <v>1770.05</v>
      </c>
      <c r="S334" s="5">
        <v>92095.7</v>
      </c>
      <c r="T334" s="6">
        <v>5.3199999999999997E-2</v>
      </c>
      <c r="U334" s="5">
        <v>87196.21</v>
      </c>
      <c r="V334" s="5">
        <v>2027.58</v>
      </c>
      <c r="W334" s="6">
        <v>0.20949999999999999</v>
      </c>
      <c r="X334" s="5">
        <v>18267.61</v>
      </c>
      <c r="Y334" s="2" t="s">
        <v>69</v>
      </c>
      <c r="Z334" s="2" t="s">
        <v>70</v>
      </c>
      <c r="AA334" s="2" t="s">
        <v>35</v>
      </c>
    </row>
    <row r="335" spans="1:27">
      <c r="A335" s="2" t="s">
        <v>460</v>
      </c>
      <c r="B335" s="3">
        <v>45745</v>
      </c>
      <c r="C335" s="2">
        <v>2025</v>
      </c>
      <c r="D335" s="2" t="s">
        <v>59</v>
      </c>
      <c r="E335" s="2" t="s">
        <v>60</v>
      </c>
      <c r="F335" s="2" t="s">
        <v>50</v>
      </c>
      <c r="G335" s="2" t="s">
        <v>51</v>
      </c>
      <c r="H335" s="2" t="s">
        <v>73</v>
      </c>
      <c r="I335" s="2" t="s">
        <v>116</v>
      </c>
      <c r="J335" s="2" t="s">
        <v>79</v>
      </c>
      <c r="K335" s="2" t="s">
        <v>100</v>
      </c>
      <c r="L335" s="2" t="s">
        <v>101</v>
      </c>
      <c r="M335" s="2" t="s">
        <v>129</v>
      </c>
      <c r="N335" s="2">
        <v>14.61</v>
      </c>
      <c r="O335" s="2">
        <v>146</v>
      </c>
      <c r="P335" s="2">
        <v>11.9</v>
      </c>
      <c r="Q335" s="4">
        <v>164.23</v>
      </c>
      <c r="R335" s="5">
        <v>1190.3699999999999</v>
      </c>
      <c r="S335" s="5">
        <v>195494.47</v>
      </c>
      <c r="T335" s="6">
        <v>1.8100000000000002E-2</v>
      </c>
      <c r="U335" s="5">
        <v>191956.02</v>
      </c>
      <c r="V335" s="5">
        <v>4567.5</v>
      </c>
      <c r="W335" s="6">
        <v>0.23230000000000001</v>
      </c>
      <c r="X335" s="5">
        <v>44591.38</v>
      </c>
      <c r="Y335" s="2" t="s">
        <v>75</v>
      </c>
      <c r="Z335" s="2" t="s">
        <v>80</v>
      </c>
      <c r="AA335" s="2" t="s">
        <v>35</v>
      </c>
    </row>
    <row r="336" spans="1:27">
      <c r="A336" s="2" t="s">
        <v>461</v>
      </c>
      <c r="B336" s="3">
        <v>45543</v>
      </c>
      <c r="C336" s="2">
        <v>2024</v>
      </c>
      <c r="D336" s="2" t="s">
        <v>37</v>
      </c>
      <c r="E336" s="2" t="s">
        <v>28</v>
      </c>
      <c r="F336" s="2" t="s">
        <v>38</v>
      </c>
      <c r="G336" s="2" t="s">
        <v>72</v>
      </c>
      <c r="H336" s="2" t="s">
        <v>31</v>
      </c>
      <c r="I336" s="2" t="s">
        <v>32</v>
      </c>
      <c r="J336" s="2" t="s">
        <v>42</v>
      </c>
      <c r="K336" s="2" t="s">
        <v>43</v>
      </c>
      <c r="L336" s="2" t="s">
        <v>44</v>
      </c>
      <c r="M336" s="2" t="s">
        <v>124</v>
      </c>
      <c r="N336" s="2">
        <v>13.57</v>
      </c>
      <c r="O336" s="2">
        <v>18</v>
      </c>
      <c r="P336" s="2">
        <v>11.7</v>
      </c>
      <c r="Q336" s="4">
        <v>550.46</v>
      </c>
      <c r="R336" s="5">
        <v>704.33</v>
      </c>
      <c r="S336" s="5">
        <v>387705.49</v>
      </c>
      <c r="T336" s="6">
        <v>3.85E-2</v>
      </c>
      <c r="U336" s="5">
        <v>372778.83</v>
      </c>
      <c r="V336" s="5">
        <v>31538.28</v>
      </c>
      <c r="W336" s="6">
        <v>0.25190000000000001</v>
      </c>
      <c r="X336" s="5">
        <v>93902.99</v>
      </c>
      <c r="Y336" s="2" t="s">
        <v>83</v>
      </c>
      <c r="Z336" s="2" t="s">
        <v>70</v>
      </c>
      <c r="AA336" s="2" t="s">
        <v>35</v>
      </c>
    </row>
    <row r="337" spans="1:27">
      <c r="A337" s="2" t="s">
        <v>462</v>
      </c>
      <c r="B337" s="3">
        <v>45488</v>
      </c>
      <c r="C337" s="2">
        <v>2024</v>
      </c>
      <c r="D337" s="2" t="s">
        <v>104</v>
      </c>
      <c r="E337" s="2" t="s">
        <v>28</v>
      </c>
      <c r="F337" s="2" t="s">
        <v>50</v>
      </c>
      <c r="G337" s="2" t="s">
        <v>105</v>
      </c>
      <c r="H337" s="2" t="s">
        <v>73</v>
      </c>
      <c r="I337" s="2" t="s">
        <v>74</v>
      </c>
      <c r="J337" s="2" t="s">
        <v>65</v>
      </c>
      <c r="K337" s="2" t="s">
        <v>66</v>
      </c>
      <c r="L337" s="2" t="s">
        <v>67</v>
      </c>
      <c r="M337" s="2" t="s">
        <v>140</v>
      </c>
      <c r="N337" s="2">
        <v>17.16</v>
      </c>
      <c r="O337" s="2">
        <v>82</v>
      </c>
      <c r="P337" s="2">
        <v>3.9</v>
      </c>
      <c r="Q337" s="4">
        <v>34.19</v>
      </c>
      <c r="R337" s="5">
        <v>1588.41</v>
      </c>
      <c r="S337" s="5">
        <v>54307.74</v>
      </c>
      <c r="T337" s="6">
        <v>3.7499999999999999E-2</v>
      </c>
      <c r="U337" s="5">
        <v>52271.199999999997</v>
      </c>
      <c r="V337" s="5">
        <v>1137.1400000000001</v>
      </c>
      <c r="W337" s="6">
        <v>0.28599999999999998</v>
      </c>
      <c r="X337" s="5">
        <v>14949.56</v>
      </c>
      <c r="Y337" s="2" t="s">
        <v>83</v>
      </c>
      <c r="Z337" s="2" t="s">
        <v>80</v>
      </c>
      <c r="AA337" s="2" t="s">
        <v>35</v>
      </c>
    </row>
    <row r="338" spans="1:27">
      <c r="A338" s="2" t="s">
        <v>463</v>
      </c>
      <c r="B338" s="3">
        <v>46001</v>
      </c>
      <c r="C338" s="2">
        <v>2025</v>
      </c>
      <c r="D338" s="2" t="s">
        <v>97</v>
      </c>
      <c r="E338" s="2" t="s">
        <v>77</v>
      </c>
      <c r="F338" s="2" t="s">
        <v>98</v>
      </c>
      <c r="G338" s="2" t="s">
        <v>99</v>
      </c>
      <c r="H338" s="2" t="s">
        <v>73</v>
      </c>
      <c r="I338" s="2" t="s">
        <v>116</v>
      </c>
      <c r="J338" s="2" t="s">
        <v>127</v>
      </c>
      <c r="K338" s="2" t="s">
        <v>54</v>
      </c>
      <c r="L338" s="2" t="s">
        <v>54</v>
      </c>
      <c r="M338" s="2" t="s">
        <v>158</v>
      </c>
      <c r="N338" s="2">
        <v>35.15</v>
      </c>
      <c r="O338" s="2">
        <v>2406</v>
      </c>
      <c r="P338" s="2">
        <v>10.9</v>
      </c>
      <c r="Q338" s="4">
        <v>114.2</v>
      </c>
      <c r="R338" s="5">
        <v>1098.94</v>
      </c>
      <c r="S338" s="5">
        <v>125498.95</v>
      </c>
      <c r="T338" s="6">
        <v>3.15E-2</v>
      </c>
      <c r="U338" s="5">
        <v>121545.73</v>
      </c>
      <c r="V338" s="5">
        <v>4708.45</v>
      </c>
      <c r="W338" s="6">
        <v>0.1333</v>
      </c>
      <c r="X338" s="5">
        <v>16202.05</v>
      </c>
      <c r="Y338" s="2" t="s">
        <v>56</v>
      </c>
      <c r="Z338" s="2" t="s">
        <v>125</v>
      </c>
      <c r="AA338" s="2" t="s">
        <v>35</v>
      </c>
    </row>
    <row r="339" spans="1:27">
      <c r="A339" s="2" t="s">
        <v>464</v>
      </c>
      <c r="B339" s="3">
        <v>45741</v>
      </c>
      <c r="C339" s="2">
        <v>2025</v>
      </c>
      <c r="D339" s="2" t="s">
        <v>59</v>
      </c>
      <c r="E339" s="2" t="s">
        <v>60</v>
      </c>
      <c r="F339" s="2" t="s">
        <v>118</v>
      </c>
      <c r="G339" s="2" t="s">
        <v>155</v>
      </c>
      <c r="H339" s="2" t="s">
        <v>31</v>
      </c>
      <c r="I339" s="2" t="s">
        <v>64</v>
      </c>
      <c r="J339" s="2" t="s">
        <v>79</v>
      </c>
      <c r="K339" s="2" t="s">
        <v>43</v>
      </c>
      <c r="L339" s="2" t="s">
        <v>44</v>
      </c>
      <c r="M339" s="2" t="s">
        <v>171</v>
      </c>
      <c r="N339" s="2">
        <v>27.17</v>
      </c>
      <c r="O339" s="2">
        <v>34</v>
      </c>
      <c r="P339" s="2">
        <v>8</v>
      </c>
      <c r="Q339" s="4">
        <v>57.58</v>
      </c>
      <c r="R339" s="5">
        <v>745.47</v>
      </c>
      <c r="S339" s="5">
        <v>42924.160000000003</v>
      </c>
      <c r="T339" s="6">
        <v>2.7699999999999999E-2</v>
      </c>
      <c r="U339" s="5">
        <v>41735.160000000003</v>
      </c>
      <c r="V339" s="5">
        <v>5465.64</v>
      </c>
      <c r="W339" s="6">
        <v>0.1381</v>
      </c>
      <c r="X339" s="5">
        <v>5763.63</v>
      </c>
      <c r="Y339" s="2" t="s">
        <v>33</v>
      </c>
      <c r="Z339" s="2" t="s">
        <v>106</v>
      </c>
      <c r="AA339" s="2" t="s">
        <v>35</v>
      </c>
    </row>
    <row r="340" spans="1:27">
      <c r="A340" s="2" t="s">
        <v>465</v>
      </c>
      <c r="B340" s="3">
        <v>45700</v>
      </c>
      <c r="C340" s="2">
        <v>2025</v>
      </c>
      <c r="D340" s="2" t="s">
        <v>113</v>
      </c>
      <c r="E340" s="2" t="s">
        <v>60</v>
      </c>
      <c r="F340" s="2" t="s">
        <v>29</v>
      </c>
      <c r="G340" s="2" t="s">
        <v>78</v>
      </c>
      <c r="H340" s="2" t="s">
        <v>63</v>
      </c>
      <c r="I340" s="2" t="s">
        <v>88</v>
      </c>
      <c r="J340" s="2" t="s">
        <v>65</v>
      </c>
      <c r="K340" s="2" t="s">
        <v>100</v>
      </c>
      <c r="L340" s="2" t="s">
        <v>101</v>
      </c>
      <c r="M340" s="2" t="s">
        <v>129</v>
      </c>
      <c r="N340" s="2">
        <v>3.4</v>
      </c>
      <c r="O340" s="2">
        <v>324</v>
      </c>
      <c r="P340" s="2">
        <v>11.3</v>
      </c>
      <c r="Q340" s="4">
        <v>18.87</v>
      </c>
      <c r="R340" s="5">
        <v>1252.69</v>
      </c>
      <c r="S340" s="5">
        <v>23638.26</v>
      </c>
      <c r="T340" s="6">
        <v>1.5599999999999999E-2</v>
      </c>
      <c r="U340" s="5">
        <v>23269.5</v>
      </c>
      <c r="V340" s="5">
        <v>518.13</v>
      </c>
      <c r="W340" s="6">
        <v>0.2099</v>
      </c>
      <c r="X340" s="5">
        <v>4884.2700000000004</v>
      </c>
      <c r="Y340" s="2" t="s">
        <v>75</v>
      </c>
      <c r="Z340" s="2" t="s">
        <v>70</v>
      </c>
      <c r="AA340" s="2" t="s">
        <v>35</v>
      </c>
    </row>
    <row r="341" spans="1:27">
      <c r="A341" s="2" t="s">
        <v>466</v>
      </c>
      <c r="B341" s="3">
        <v>45370</v>
      </c>
      <c r="C341" s="2">
        <v>2024</v>
      </c>
      <c r="D341" s="2" t="s">
        <v>59</v>
      </c>
      <c r="E341" s="2" t="s">
        <v>60</v>
      </c>
      <c r="F341" s="2" t="s">
        <v>29</v>
      </c>
      <c r="G341" s="2" t="s">
        <v>78</v>
      </c>
      <c r="H341" s="2" t="s">
        <v>40</v>
      </c>
      <c r="I341" s="2" t="s">
        <v>41</v>
      </c>
      <c r="J341" s="2" t="s">
        <v>127</v>
      </c>
      <c r="K341" s="2" t="s">
        <v>54</v>
      </c>
      <c r="L341" s="2" t="s">
        <v>54</v>
      </c>
      <c r="M341" s="2" t="s">
        <v>162</v>
      </c>
      <c r="N341" s="2">
        <v>26.1</v>
      </c>
      <c r="O341" s="2">
        <v>2366</v>
      </c>
      <c r="P341" s="2">
        <v>8.9</v>
      </c>
      <c r="Q341" s="4">
        <v>47.36</v>
      </c>
      <c r="R341" s="5">
        <v>1103.3900000000001</v>
      </c>
      <c r="S341" s="5">
        <v>52256.55</v>
      </c>
      <c r="T341" s="6">
        <v>5.96E-2</v>
      </c>
      <c r="U341" s="5">
        <v>49142.06</v>
      </c>
      <c r="V341" s="5">
        <v>3078.86</v>
      </c>
      <c r="W341" s="6">
        <v>0.23300000000000001</v>
      </c>
      <c r="X341" s="5">
        <v>11450.1</v>
      </c>
      <c r="Y341" s="2" t="s">
        <v>33</v>
      </c>
      <c r="Z341" s="2" t="s">
        <v>125</v>
      </c>
      <c r="AA341" s="2" t="s">
        <v>35</v>
      </c>
    </row>
    <row r="342" spans="1:27">
      <c r="A342" s="2" t="s">
        <v>467</v>
      </c>
      <c r="B342" s="3">
        <v>45783</v>
      </c>
      <c r="C342" s="2">
        <v>2025</v>
      </c>
      <c r="D342" s="2" t="s">
        <v>81</v>
      </c>
      <c r="E342" s="2" t="s">
        <v>49</v>
      </c>
      <c r="F342" s="2" t="s">
        <v>50</v>
      </c>
      <c r="G342" s="2" t="s">
        <v>105</v>
      </c>
      <c r="H342" s="2" t="s">
        <v>40</v>
      </c>
      <c r="I342" s="2" t="s">
        <v>64</v>
      </c>
      <c r="J342" s="2" t="s">
        <v>79</v>
      </c>
      <c r="K342" s="2" t="s">
        <v>43</v>
      </c>
      <c r="L342" s="2" t="s">
        <v>44</v>
      </c>
      <c r="M342" s="2" t="s">
        <v>45</v>
      </c>
      <c r="N342" s="2">
        <v>13.19</v>
      </c>
      <c r="O342" s="2">
        <v>23</v>
      </c>
      <c r="P342" s="2">
        <v>6.9</v>
      </c>
      <c r="Q342" s="4">
        <v>433.57</v>
      </c>
      <c r="R342" s="5">
        <v>779.46</v>
      </c>
      <c r="S342" s="5">
        <v>337950.47</v>
      </c>
      <c r="T342" s="6">
        <v>6.9900000000000004E-2</v>
      </c>
      <c r="U342" s="5">
        <v>314327.73</v>
      </c>
      <c r="V342" s="5">
        <v>31245.07</v>
      </c>
      <c r="W342" s="6">
        <v>0.16619999999999999</v>
      </c>
      <c r="X342" s="5">
        <v>52241.27</v>
      </c>
      <c r="Y342" s="2" t="s">
        <v>69</v>
      </c>
      <c r="Z342" s="2" t="s">
        <v>80</v>
      </c>
      <c r="AA342" s="2" t="s">
        <v>35</v>
      </c>
    </row>
    <row r="343" spans="1:27">
      <c r="A343" s="2" t="s">
        <v>468</v>
      </c>
      <c r="B343" s="3">
        <v>45342</v>
      </c>
      <c r="C343" s="2">
        <v>2024</v>
      </c>
      <c r="D343" s="2" t="s">
        <v>113</v>
      </c>
      <c r="E343" s="2" t="s">
        <v>60</v>
      </c>
      <c r="F343" s="2" t="s">
        <v>29</v>
      </c>
      <c r="G343" s="2" t="s">
        <v>78</v>
      </c>
      <c r="H343" s="2" t="s">
        <v>31</v>
      </c>
      <c r="I343" s="2" t="s">
        <v>52</v>
      </c>
      <c r="J343" s="2" t="s">
        <v>65</v>
      </c>
      <c r="K343" s="2" t="s">
        <v>100</v>
      </c>
      <c r="L343" s="2" t="s">
        <v>101</v>
      </c>
      <c r="M343" s="2" t="s">
        <v>145</v>
      </c>
      <c r="N343" s="2">
        <v>6.02</v>
      </c>
      <c r="O343" s="2">
        <v>355</v>
      </c>
      <c r="P343" s="2">
        <v>7.1</v>
      </c>
      <c r="Q343" s="4">
        <v>17.52</v>
      </c>
      <c r="R343" s="5">
        <v>1232.03</v>
      </c>
      <c r="S343" s="5">
        <v>21585.17</v>
      </c>
      <c r="T343" s="6">
        <v>2.81E-2</v>
      </c>
      <c r="U343" s="5">
        <v>20978.63</v>
      </c>
      <c r="V343" s="5">
        <v>1492.07</v>
      </c>
      <c r="W343" s="6">
        <v>0.21629999999999999</v>
      </c>
      <c r="X343" s="5">
        <v>4537.68</v>
      </c>
      <c r="Y343" s="2" t="s">
        <v>69</v>
      </c>
      <c r="Z343" s="2" t="s">
        <v>106</v>
      </c>
      <c r="AA343" s="2" t="s">
        <v>35</v>
      </c>
    </row>
    <row r="344" spans="1:27">
      <c r="A344" s="2" t="s">
        <v>469</v>
      </c>
      <c r="B344" s="3">
        <v>45519</v>
      </c>
      <c r="C344" s="2">
        <v>2024</v>
      </c>
      <c r="D344" s="2" t="s">
        <v>27</v>
      </c>
      <c r="E344" s="2" t="s">
        <v>28</v>
      </c>
      <c r="F344" s="2" t="s">
        <v>38</v>
      </c>
      <c r="G344" s="2" t="s">
        <v>72</v>
      </c>
      <c r="H344" s="2" t="s">
        <v>73</v>
      </c>
      <c r="I344" s="2" t="s">
        <v>64</v>
      </c>
      <c r="J344" s="2" t="s">
        <v>79</v>
      </c>
      <c r="K344" s="2" t="s">
        <v>43</v>
      </c>
      <c r="L344" s="2" t="s">
        <v>44</v>
      </c>
      <c r="M344" s="2" t="s">
        <v>45</v>
      </c>
      <c r="N344" s="2">
        <v>37.36</v>
      </c>
      <c r="O344" s="2">
        <v>30</v>
      </c>
      <c r="P344" s="2">
        <v>9.6</v>
      </c>
      <c r="Q344" s="4">
        <v>248.34</v>
      </c>
      <c r="R344" s="5">
        <v>702.56</v>
      </c>
      <c r="S344" s="5">
        <v>174473.75</v>
      </c>
      <c r="T344" s="6">
        <v>4.8500000000000001E-2</v>
      </c>
      <c r="U344" s="5">
        <v>166011.76999999999</v>
      </c>
      <c r="V344" s="5">
        <v>9463.9599999999991</v>
      </c>
      <c r="W344" s="6">
        <v>0.15609999999999999</v>
      </c>
      <c r="X344" s="5">
        <v>25914.44</v>
      </c>
      <c r="Y344" s="2" t="s">
        <v>83</v>
      </c>
      <c r="Z344" s="2" t="s">
        <v>34</v>
      </c>
      <c r="AA344" s="2" t="s">
        <v>35</v>
      </c>
    </row>
    <row r="345" spans="1:27">
      <c r="A345" s="2" t="s">
        <v>470</v>
      </c>
      <c r="B345" s="3">
        <v>45759</v>
      </c>
      <c r="C345" s="2">
        <v>2025</v>
      </c>
      <c r="D345" s="2" t="s">
        <v>48</v>
      </c>
      <c r="E345" s="2" t="s">
        <v>49</v>
      </c>
      <c r="F345" s="2" t="s">
        <v>50</v>
      </c>
      <c r="G345" s="2" t="s">
        <v>105</v>
      </c>
      <c r="H345" s="2" t="s">
        <v>40</v>
      </c>
      <c r="I345" s="2" t="s">
        <v>74</v>
      </c>
      <c r="J345" s="2" t="s">
        <v>42</v>
      </c>
      <c r="K345" s="2" t="s">
        <v>100</v>
      </c>
      <c r="L345" s="2" t="s">
        <v>101</v>
      </c>
      <c r="M345" s="2" t="s">
        <v>129</v>
      </c>
      <c r="N345" s="2">
        <v>14.83</v>
      </c>
      <c r="O345" s="2">
        <v>573</v>
      </c>
      <c r="P345" s="2">
        <v>6.4</v>
      </c>
      <c r="Q345" s="4">
        <v>156.93</v>
      </c>
      <c r="R345" s="5">
        <v>1308.8599999999999</v>
      </c>
      <c r="S345" s="5">
        <v>205399.4</v>
      </c>
      <c r="T345" s="6">
        <v>2.8000000000000001E-2</v>
      </c>
      <c r="U345" s="5">
        <v>199648.22</v>
      </c>
      <c r="V345" s="5">
        <v>12587.96</v>
      </c>
      <c r="W345" s="6">
        <v>0.2296</v>
      </c>
      <c r="X345" s="5">
        <v>45839.23</v>
      </c>
      <c r="Y345" s="2" t="s">
        <v>83</v>
      </c>
      <c r="Z345" s="2" t="s">
        <v>106</v>
      </c>
      <c r="AA345" s="2" t="s">
        <v>35</v>
      </c>
    </row>
    <row r="346" spans="1:27">
      <c r="A346" s="2" t="s">
        <v>471</v>
      </c>
      <c r="B346" s="3">
        <v>45381</v>
      </c>
      <c r="C346" s="2">
        <v>2024</v>
      </c>
      <c r="D346" s="2" t="s">
        <v>59</v>
      </c>
      <c r="E346" s="2" t="s">
        <v>60</v>
      </c>
      <c r="F346" s="2" t="s">
        <v>118</v>
      </c>
      <c r="G346" s="2" t="s">
        <v>155</v>
      </c>
      <c r="H346" s="2" t="s">
        <v>63</v>
      </c>
      <c r="I346" s="2" t="s">
        <v>64</v>
      </c>
      <c r="J346" s="2" t="s">
        <v>42</v>
      </c>
      <c r="K346" s="2" t="s">
        <v>100</v>
      </c>
      <c r="L346" s="2" t="s">
        <v>101</v>
      </c>
      <c r="M346" s="2" t="s">
        <v>102</v>
      </c>
      <c r="N346" s="2">
        <v>14.51</v>
      </c>
      <c r="O346" s="2">
        <v>102</v>
      </c>
      <c r="P346" s="2">
        <v>7.2</v>
      </c>
      <c r="Q346" s="4">
        <v>140.66999999999999</v>
      </c>
      <c r="R346" s="5">
        <v>1201.31</v>
      </c>
      <c r="S346" s="5">
        <v>168988.28</v>
      </c>
      <c r="T346" s="6">
        <v>2.58E-2</v>
      </c>
      <c r="U346" s="5">
        <v>164628.38</v>
      </c>
      <c r="V346" s="5">
        <v>3269.64</v>
      </c>
      <c r="W346" s="6">
        <v>0.25769999999999998</v>
      </c>
      <c r="X346" s="5">
        <v>42424.73</v>
      </c>
      <c r="Y346" s="2" t="s">
        <v>56</v>
      </c>
      <c r="Z346" s="2" t="s">
        <v>106</v>
      </c>
      <c r="AA346" s="2" t="s">
        <v>35</v>
      </c>
    </row>
    <row r="347" spans="1:27">
      <c r="A347" s="2" t="s">
        <v>472</v>
      </c>
      <c r="B347" s="3">
        <v>45321</v>
      </c>
      <c r="C347" s="2">
        <v>2024</v>
      </c>
      <c r="D347" s="2" t="s">
        <v>71</v>
      </c>
      <c r="E347" s="2" t="s">
        <v>60</v>
      </c>
      <c r="F347" s="2" t="s">
        <v>29</v>
      </c>
      <c r="G347" s="2" t="s">
        <v>95</v>
      </c>
      <c r="H347" s="2" t="s">
        <v>40</v>
      </c>
      <c r="I347" s="2" t="s">
        <v>88</v>
      </c>
      <c r="J347" s="2" t="s">
        <v>79</v>
      </c>
      <c r="K347" s="2" t="s">
        <v>100</v>
      </c>
      <c r="L347" s="2" t="s">
        <v>101</v>
      </c>
      <c r="M347" s="2" t="s">
        <v>129</v>
      </c>
      <c r="N347" s="2">
        <v>9.4</v>
      </c>
      <c r="O347" s="2">
        <v>71</v>
      </c>
      <c r="P347" s="2">
        <v>10.7</v>
      </c>
      <c r="Q347" s="4">
        <v>261.23</v>
      </c>
      <c r="R347" s="5">
        <v>1165.58</v>
      </c>
      <c r="S347" s="5">
        <v>304484.46000000002</v>
      </c>
      <c r="T347" s="6">
        <v>7.4399999999999994E-2</v>
      </c>
      <c r="U347" s="5">
        <v>281830.82</v>
      </c>
      <c r="V347" s="5">
        <v>22185.9</v>
      </c>
      <c r="W347" s="6">
        <v>0.21310000000000001</v>
      </c>
      <c r="X347" s="5">
        <v>60058.15</v>
      </c>
      <c r="Y347" s="2" t="s">
        <v>69</v>
      </c>
      <c r="Z347" s="2" t="s">
        <v>34</v>
      </c>
      <c r="AA347" s="2" t="s">
        <v>35</v>
      </c>
    </row>
    <row r="348" spans="1:27">
      <c r="A348" s="2" t="s">
        <v>473</v>
      </c>
      <c r="B348" s="3">
        <v>45813</v>
      </c>
      <c r="C348" s="2">
        <v>2025</v>
      </c>
      <c r="D348" s="2" t="s">
        <v>91</v>
      </c>
      <c r="E348" s="2" t="s">
        <v>49</v>
      </c>
      <c r="F348" s="2" t="s">
        <v>38</v>
      </c>
      <c r="G348" s="2" t="s">
        <v>72</v>
      </c>
      <c r="H348" s="2" t="s">
        <v>63</v>
      </c>
      <c r="I348" s="2" t="s">
        <v>116</v>
      </c>
      <c r="J348" s="2" t="s">
        <v>65</v>
      </c>
      <c r="K348" s="2" t="s">
        <v>66</v>
      </c>
      <c r="L348" s="2" t="s">
        <v>67</v>
      </c>
      <c r="M348" s="2" t="s">
        <v>122</v>
      </c>
      <c r="N348" s="2">
        <v>12.17</v>
      </c>
      <c r="O348" s="2">
        <v>134</v>
      </c>
      <c r="P348" s="2">
        <v>9.5</v>
      </c>
      <c r="Q348" s="4">
        <v>59.79</v>
      </c>
      <c r="R348" s="5">
        <v>1644.81</v>
      </c>
      <c r="S348" s="5">
        <v>98343.19</v>
      </c>
      <c r="T348" s="6">
        <v>2.9100000000000001E-2</v>
      </c>
      <c r="U348" s="5">
        <v>95481.4</v>
      </c>
      <c r="V348" s="5">
        <v>1917.21</v>
      </c>
      <c r="W348" s="6">
        <v>0.21809999999999999</v>
      </c>
      <c r="X348" s="5">
        <v>20824.490000000002</v>
      </c>
      <c r="Y348" s="2" t="s">
        <v>33</v>
      </c>
      <c r="Z348" s="2" t="s">
        <v>125</v>
      </c>
      <c r="AA348" s="2" t="s">
        <v>35</v>
      </c>
    </row>
    <row r="349" spans="1:27">
      <c r="A349" s="2" t="s">
        <v>474</v>
      </c>
      <c r="B349" s="3">
        <v>45597</v>
      </c>
      <c r="C349" s="2">
        <v>2024</v>
      </c>
      <c r="D349" s="2" t="s">
        <v>76</v>
      </c>
      <c r="E349" s="2" t="s">
        <v>77</v>
      </c>
      <c r="F349" s="2" t="s">
        <v>98</v>
      </c>
      <c r="G349" s="2" t="s">
        <v>111</v>
      </c>
      <c r="H349" s="2" t="s">
        <v>73</v>
      </c>
      <c r="I349" s="2" t="s">
        <v>74</v>
      </c>
      <c r="J349" s="2" t="s">
        <v>65</v>
      </c>
      <c r="K349" s="2" t="s">
        <v>100</v>
      </c>
      <c r="L349" s="2" t="s">
        <v>101</v>
      </c>
      <c r="M349" s="2" t="s">
        <v>102</v>
      </c>
      <c r="N349" s="2">
        <v>5.54</v>
      </c>
      <c r="O349" s="2">
        <v>215</v>
      </c>
      <c r="P349" s="2">
        <v>9.1999999999999993</v>
      </c>
      <c r="Q349" s="4">
        <v>132.88</v>
      </c>
      <c r="R349" s="5">
        <v>1093.6400000000001</v>
      </c>
      <c r="S349" s="5">
        <v>145322.88</v>
      </c>
      <c r="T349" s="6">
        <v>4.1099999999999998E-2</v>
      </c>
      <c r="U349" s="5">
        <v>139350.10999999999</v>
      </c>
      <c r="V349" s="5">
        <v>4358.5</v>
      </c>
      <c r="W349" s="6">
        <v>0.1216</v>
      </c>
      <c r="X349" s="5">
        <v>16944.97</v>
      </c>
      <c r="Y349" s="2" t="s">
        <v>69</v>
      </c>
      <c r="Z349" s="2" t="s">
        <v>70</v>
      </c>
      <c r="AA349" s="2" t="s">
        <v>35</v>
      </c>
    </row>
    <row r="350" spans="1:27">
      <c r="A350" s="2" t="s">
        <v>475</v>
      </c>
      <c r="B350" s="3">
        <v>45852</v>
      </c>
      <c r="C350" s="2">
        <v>2025</v>
      </c>
      <c r="D350" s="2" t="s">
        <v>104</v>
      </c>
      <c r="E350" s="2" t="s">
        <v>28</v>
      </c>
      <c r="F350" s="2" t="s">
        <v>86</v>
      </c>
      <c r="G350" s="2" t="s">
        <v>87</v>
      </c>
      <c r="H350" s="2" t="s">
        <v>31</v>
      </c>
      <c r="I350" s="2" t="s">
        <v>74</v>
      </c>
      <c r="J350" s="2" t="s">
        <v>42</v>
      </c>
      <c r="K350" s="2" t="s">
        <v>100</v>
      </c>
      <c r="L350" s="2" t="s">
        <v>101</v>
      </c>
      <c r="M350" s="2" t="s">
        <v>108</v>
      </c>
      <c r="N350" s="2">
        <v>13.94</v>
      </c>
      <c r="O350" s="2">
        <v>82</v>
      </c>
      <c r="P350" s="2">
        <v>9.6</v>
      </c>
      <c r="Q350" s="4">
        <v>124.79</v>
      </c>
      <c r="R350" s="5">
        <v>1185.6099999999999</v>
      </c>
      <c r="S350" s="5">
        <v>147952.26999999999</v>
      </c>
      <c r="T350" s="6">
        <v>0.04</v>
      </c>
      <c r="U350" s="5">
        <v>142034.18</v>
      </c>
      <c r="V350" s="5">
        <v>11531.82</v>
      </c>
      <c r="W350" s="6">
        <v>0.1138</v>
      </c>
      <c r="X350" s="5">
        <v>16163.49</v>
      </c>
      <c r="Y350" s="2" t="s">
        <v>33</v>
      </c>
      <c r="Z350" s="2" t="s">
        <v>80</v>
      </c>
      <c r="AA350" s="2" t="s">
        <v>35</v>
      </c>
    </row>
    <row r="351" spans="1:27">
      <c r="A351" s="2" t="s">
        <v>476</v>
      </c>
      <c r="B351" s="3">
        <v>45818</v>
      </c>
      <c r="C351" s="2">
        <v>2025</v>
      </c>
      <c r="D351" s="2" t="s">
        <v>91</v>
      </c>
      <c r="E351" s="2" t="s">
        <v>49</v>
      </c>
      <c r="F351" s="2" t="s">
        <v>29</v>
      </c>
      <c r="G351" s="2" t="s">
        <v>95</v>
      </c>
      <c r="H351" s="2" t="s">
        <v>73</v>
      </c>
      <c r="I351" s="2" t="s">
        <v>74</v>
      </c>
      <c r="J351" s="2" t="s">
        <v>65</v>
      </c>
      <c r="K351" s="2" t="s">
        <v>54</v>
      </c>
      <c r="L351" s="2" t="s">
        <v>54</v>
      </c>
      <c r="M351" s="2" t="s">
        <v>162</v>
      </c>
      <c r="N351" s="2">
        <v>26.51</v>
      </c>
      <c r="O351" s="2">
        <v>2212</v>
      </c>
      <c r="P351" s="2">
        <v>3.4</v>
      </c>
      <c r="Q351" s="4">
        <v>131.88999999999999</v>
      </c>
      <c r="R351" s="5">
        <v>1227.5899999999999</v>
      </c>
      <c r="S351" s="5">
        <v>161906.85</v>
      </c>
      <c r="T351" s="6">
        <v>1.35E-2</v>
      </c>
      <c r="U351" s="5">
        <v>159721.10999999999</v>
      </c>
      <c r="V351" s="5">
        <v>2648.28</v>
      </c>
      <c r="W351" s="6">
        <v>0.2026</v>
      </c>
      <c r="X351" s="5">
        <v>32359.5</v>
      </c>
      <c r="Y351" s="2" t="s">
        <v>56</v>
      </c>
      <c r="Z351" s="2" t="s">
        <v>89</v>
      </c>
      <c r="AA351" s="2" t="s">
        <v>35</v>
      </c>
    </row>
    <row r="352" spans="1:27">
      <c r="A352" s="2" t="s">
        <v>477</v>
      </c>
      <c r="B352" s="3">
        <v>45852</v>
      </c>
      <c r="C352" s="2">
        <v>2025</v>
      </c>
      <c r="D352" s="2" t="s">
        <v>104</v>
      </c>
      <c r="E352" s="2" t="s">
        <v>28</v>
      </c>
      <c r="F352" s="2" t="s">
        <v>98</v>
      </c>
      <c r="G352" s="2" t="s">
        <v>135</v>
      </c>
      <c r="H352" s="2" t="s">
        <v>31</v>
      </c>
      <c r="I352" s="2" t="s">
        <v>88</v>
      </c>
      <c r="J352" s="2" t="s">
        <v>42</v>
      </c>
      <c r="K352" s="2" t="s">
        <v>43</v>
      </c>
      <c r="L352" s="2" t="s">
        <v>44</v>
      </c>
      <c r="M352" s="2" t="s">
        <v>45</v>
      </c>
      <c r="N352" s="2">
        <v>24.13</v>
      </c>
      <c r="O352" s="2">
        <v>33</v>
      </c>
      <c r="P352" s="2">
        <v>4.5999999999999996</v>
      </c>
      <c r="Q352" s="4">
        <v>594.45000000000005</v>
      </c>
      <c r="R352" s="5">
        <v>692.95</v>
      </c>
      <c r="S352" s="5">
        <v>411924.13</v>
      </c>
      <c r="T352" s="6">
        <v>5.6800000000000003E-2</v>
      </c>
      <c r="U352" s="5">
        <v>388526.84</v>
      </c>
      <c r="V352" s="5">
        <v>31270.26</v>
      </c>
      <c r="W352" s="6">
        <v>0.246</v>
      </c>
      <c r="X352" s="5">
        <v>95577.600000000006</v>
      </c>
      <c r="Y352" s="2" t="s">
        <v>75</v>
      </c>
      <c r="Z352" s="2" t="s">
        <v>125</v>
      </c>
      <c r="AA352" s="2" t="s">
        <v>35</v>
      </c>
    </row>
    <row r="353" spans="1:27">
      <c r="A353" s="2" t="s">
        <v>478</v>
      </c>
      <c r="B353" s="3">
        <v>45986</v>
      </c>
      <c r="C353" s="2">
        <v>2025</v>
      </c>
      <c r="D353" s="2" t="s">
        <v>76</v>
      </c>
      <c r="E353" s="2" t="s">
        <v>77</v>
      </c>
      <c r="F353" s="2" t="s">
        <v>29</v>
      </c>
      <c r="G353" s="2" t="s">
        <v>95</v>
      </c>
      <c r="H353" s="2" t="s">
        <v>31</v>
      </c>
      <c r="I353" s="2" t="s">
        <v>32</v>
      </c>
      <c r="J353" s="2" t="s">
        <v>42</v>
      </c>
      <c r="K353" s="2" t="s">
        <v>100</v>
      </c>
      <c r="L353" s="2" t="s">
        <v>101</v>
      </c>
      <c r="M353" s="2" t="s">
        <v>102</v>
      </c>
      <c r="N353" s="2">
        <v>8.5500000000000007</v>
      </c>
      <c r="O353" s="2">
        <v>264</v>
      </c>
      <c r="P353" s="2">
        <v>9</v>
      </c>
      <c r="Q353" s="4">
        <v>204.31</v>
      </c>
      <c r="R353" s="5">
        <v>1352.74</v>
      </c>
      <c r="S353" s="5">
        <v>276378.31</v>
      </c>
      <c r="T353" s="6">
        <v>2.0299999999999999E-2</v>
      </c>
      <c r="U353" s="5">
        <v>270767.83</v>
      </c>
      <c r="V353" s="5">
        <v>14188.17</v>
      </c>
      <c r="W353" s="6">
        <v>0.1739</v>
      </c>
      <c r="X353" s="5">
        <v>47086.53</v>
      </c>
      <c r="Y353" s="2" t="s">
        <v>83</v>
      </c>
      <c r="Z353" s="2" t="s">
        <v>80</v>
      </c>
      <c r="AA353" s="2" t="s">
        <v>35</v>
      </c>
    </row>
    <row r="354" spans="1:27">
      <c r="A354" s="2" t="s">
        <v>479</v>
      </c>
      <c r="B354" s="3">
        <v>45873</v>
      </c>
      <c r="C354" s="2">
        <v>2025</v>
      </c>
      <c r="D354" s="2" t="s">
        <v>27</v>
      </c>
      <c r="E354" s="2" t="s">
        <v>28</v>
      </c>
      <c r="F354" s="2" t="s">
        <v>50</v>
      </c>
      <c r="G354" s="2" t="s">
        <v>115</v>
      </c>
      <c r="H354" s="2" t="s">
        <v>40</v>
      </c>
      <c r="I354" s="2" t="s">
        <v>116</v>
      </c>
      <c r="J354" s="2" t="s">
        <v>42</v>
      </c>
      <c r="K354" s="2" t="s">
        <v>43</v>
      </c>
      <c r="L354" s="2" t="s">
        <v>44</v>
      </c>
      <c r="M354" s="2" t="s">
        <v>124</v>
      </c>
      <c r="N354" s="2">
        <v>17.66</v>
      </c>
      <c r="O354" s="2">
        <v>27</v>
      </c>
      <c r="P354" s="2">
        <v>4.8</v>
      </c>
      <c r="Q354" s="4">
        <v>360.31</v>
      </c>
      <c r="R354" s="5">
        <v>754.75</v>
      </c>
      <c r="S354" s="5">
        <v>271943.96999999997</v>
      </c>
      <c r="T354" s="6">
        <v>6.6900000000000001E-2</v>
      </c>
      <c r="U354" s="5">
        <v>253750.92</v>
      </c>
      <c r="V354" s="5">
        <v>24175.279999999999</v>
      </c>
      <c r="W354" s="6">
        <v>0.13339999999999999</v>
      </c>
      <c r="X354" s="5">
        <v>33850.370000000003</v>
      </c>
      <c r="Y354" s="2" t="s">
        <v>83</v>
      </c>
      <c r="Z354" s="2" t="s">
        <v>125</v>
      </c>
      <c r="AA354" s="2" t="s">
        <v>35</v>
      </c>
    </row>
    <row r="355" spans="1:27">
      <c r="A355" s="2" t="s">
        <v>480</v>
      </c>
      <c r="B355" s="3">
        <v>45451</v>
      </c>
      <c r="C355" s="2">
        <v>2024</v>
      </c>
      <c r="D355" s="2" t="s">
        <v>91</v>
      </c>
      <c r="E355" s="2" t="s">
        <v>49</v>
      </c>
      <c r="F355" s="2" t="s">
        <v>38</v>
      </c>
      <c r="G355" s="2" t="s">
        <v>82</v>
      </c>
      <c r="H355" s="2" t="s">
        <v>73</v>
      </c>
      <c r="I355" s="2" t="s">
        <v>41</v>
      </c>
      <c r="J355" s="2" t="s">
        <v>65</v>
      </c>
      <c r="K355" s="2" t="s">
        <v>100</v>
      </c>
      <c r="L355" s="2" t="s">
        <v>101</v>
      </c>
      <c r="M355" s="2" t="s">
        <v>145</v>
      </c>
      <c r="N355" s="2">
        <v>5.13</v>
      </c>
      <c r="O355" s="2">
        <v>423</v>
      </c>
      <c r="P355" s="2">
        <v>11.8</v>
      </c>
      <c r="Q355" s="4">
        <v>129.80000000000001</v>
      </c>
      <c r="R355" s="5">
        <v>1161.6300000000001</v>
      </c>
      <c r="S355" s="5">
        <v>150779.57</v>
      </c>
      <c r="T355" s="6">
        <v>3.3399999999999999E-2</v>
      </c>
      <c r="U355" s="5">
        <v>145743.53</v>
      </c>
      <c r="V355" s="5">
        <v>2529.5100000000002</v>
      </c>
      <c r="W355" s="6">
        <v>0.22739999999999999</v>
      </c>
      <c r="X355" s="5">
        <v>33142.080000000002</v>
      </c>
      <c r="Y355" s="2" t="s">
        <v>83</v>
      </c>
      <c r="Z355" s="2" t="s">
        <v>80</v>
      </c>
      <c r="AA355" s="2" t="s">
        <v>35</v>
      </c>
    </row>
    <row r="356" spans="1:27">
      <c r="A356" s="2" t="s">
        <v>481</v>
      </c>
      <c r="B356" s="3">
        <v>45449</v>
      </c>
      <c r="C356" s="2">
        <v>2024</v>
      </c>
      <c r="D356" s="2" t="s">
        <v>91</v>
      </c>
      <c r="E356" s="2" t="s">
        <v>49</v>
      </c>
      <c r="F356" s="2" t="s">
        <v>98</v>
      </c>
      <c r="G356" s="2" t="s">
        <v>137</v>
      </c>
      <c r="H356" s="2" t="s">
        <v>73</v>
      </c>
      <c r="I356" s="2" t="s">
        <v>41</v>
      </c>
      <c r="J356" s="2" t="s">
        <v>65</v>
      </c>
      <c r="K356" s="2" t="s">
        <v>66</v>
      </c>
      <c r="L356" s="2" t="s">
        <v>67</v>
      </c>
      <c r="M356" s="2" t="s">
        <v>122</v>
      </c>
      <c r="N356" s="2">
        <v>10.96</v>
      </c>
      <c r="O356" s="2">
        <v>337</v>
      </c>
      <c r="P356" s="2">
        <v>8.5</v>
      </c>
      <c r="Q356" s="4">
        <v>60.19</v>
      </c>
      <c r="R356" s="5">
        <v>1542.17</v>
      </c>
      <c r="S356" s="5">
        <v>92823.21</v>
      </c>
      <c r="T356" s="6">
        <v>2.6499999999999999E-2</v>
      </c>
      <c r="U356" s="5">
        <v>90363.39</v>
      </c>
      <c r="V356" s="5">
        <v>1935.41</v>
      </c>
      <c r="W356" s="6">
        <v>0.20499999999999999</v>
      </c>
      <c r="X356" s="5">
        <v>18524.490000000002</v>
      </c>
      <c r="Y356" s="2" t="s">
        <v>83</v>
      </c>
      <c r="Z356" s="2" t="s">
        <v>89</v>
      </c>
      <c r="AA356" s="2" t="s">
        <v>35</v>
      </c>
    </row>
    <row r="357" spans="1:27">
      <c r="A357" s="2" t="s">
        <v>482</v>
      </c>
      <c r="B357" s="3">
        <v>45785</v>
      </c>
      <c r="C357" s="2">
        <v>2025</v>
      </c>
      <c r="D357" s="2" t="s">
        <v>81</v>
      </c>
      <c r="E357" s="2" t="s">
        <v>49</v>
      </c>
      <c r="F357" s="2" t="s">
        <v>29</v>
      </c>
      <c r="G357" s="2" t="s">
        <v>78</v>
      </c>
      <c r="H357" s="2" t="s">
        <v>73</v>
      </c>
      <c r="I357" s="2" t="s">
        <v>88</v>
      </c>
      <c r="J357" s="2" t="s">
        <v>79</v>
      </c>
      <c r="K357" s="2" t="s">
        <v>100</v>
      </c>
      <c r="L357" s="2" t="s">
        <v>101</v>
      </c>
      <c r="M357" s="2" t="s">
        <v>108</v>
      </c>
      <c r="N357" s="2">
        <v>2.81</v>
      </c>
      <c r="O357" s="2">
        <v>90</v>
      </c>
      <c r="P357" s="2">
        <v>7.8</v>
      </c>
      <c r="Q357" s="4">
        <v>151.5</v>
      </c>
      <c r="R357" s="5">
        <v>1231.43</v>
      </c>
      <c r="S357" s="5">
        <v>186561.65</v>
      </c>
      <c r="T357" s="6">
        <v>1.9E-2</v>
      </c>
      <c r="U357" s="5">
        <v>183016.98</v>
      </c>
      <c r="V357" s="5">
        <v>3013.48</v>
      </c>
      <c r="W357" s="6">
        <v>0.20430000000000001</v>
      </c>
      <c r="X357" s="5">
        <v>37390.370000000003</v>
      </c>
      <c r="Y357" s="2" t="s">
        <v>75</v>
      </c>
      <c r="Z357" s="2" t="s">
        <v>46</v>
      </c>
      <c r="AA357" s="2" t="s">
        <v>35</v>
      </c>
    </row>
    <row r="358" spans="1:27">
      <c r="A358" s="2" t="s">
        <v>483</v>
      </c>
      <c r="B358" s="3">
        <v>45369</v>
      </c>
      <c r="C358" s="2">
        <v>2024</v>
      </c>
      <c r="D358" s="2" t="s">
        <v>59</v>
      </c>
      <c r="E358" s="2" t="s">
        <v>60</v>
      </c>
      <c r="F358" s="2" t="s">
        <v>86</v>
      </c>
      <c r="G358" s="2" t="s">
        <v>134</v>
      </c>
      <c r="H358" s="2" t="s">
        <v>63</v>
      </c>
      <c r="I358" s="2" t="s">
        <v>88</v>
      </c>
      <c r="J358" s="2" t="s">
        <v>65</v>
      </c>
      <c r="K358" s="2" t="s">
        <v>100</v>
      </c>
      <c r="L358" s="2" t="s">
        <v>101</v>
      </c>
      <c r="M358" s="2" t="s">
        <v>108</v>
      </c>
      <c r="N358" s="2">
        <v>2.04</v>
      </c>
      <c r="O358" s="2">
        <v>578</v>
      </c>
      <c r="P358" s="2">
        <v>3.2</v>
      </c>
      <c r="Q358" s="4">
        <v>152.06</v>
      </c>
      <c r="R358" s="5">
        <v>1209.8599999999999</v>
      </c>
      <c r="S358" s="5">
        <v>183971.31</v>
      </c>
      <c r="T358" s="6">
        <v>4.5600000000000002E-2</v>
      </c>
      <c r="U358" s="5">
        <v>175582.22</v>
      </c>
      <c r="V358" s="5">
        <v>5096.33</v>
      </c>
      <c r="W358" s="6">
        <v>0.2077</v>
      </c>
      <c r="X358" s="5">
        <v>36468.43</v>
      </c>
      <c r="Y358" s="2" t="s">
        <v>33</v>
      </c>
      <c r="Z358" s="2" t="s">
        <v>70</v>
      </c>
      <c r="AA358" s="2" t="s">
        <v>35</v>
      </c>
    </row>
    <row r="359" spans="1:27">
      <c r="A359" s="2" t="s">
        <v>484</v>
      </c>
      <c r="B359" s="3">
        <v>45301</v>
      </c>
      <c r="C359" s="2">
        <v>2024</v>
      </c>
      <c r="D359" s="2" t="s">
        <v>71</v>
      </c>
      <c r="E359" s="2" t="s">
        <v>60</v>
      </c>
      <c r="F359" s="2" t="s">
        <v>98</v>
      </c>
      <c r="G359" s="2" t="s">
        <v>111</v>
      </c>
      <c r="H359" s="2" t="s">
        <v>73</v>
      </c>
      <c r="I359" s="2" t="s">
        <v>74</v>
      </c>
      <c r="J359" s="2" t="s">
        <v>42</v>
      </c>
      <c r="K359" s="2" t="s">
        <v>100</v>
      </c>
      <c r="L359" s="2" t="s">
        <v>101</v>
      </c>
      <c r="M359" s="2" t="s">
        <v>129</v>
      </c>
      <c r="N359" s="2">
        <v>9.86</v>
      </c>
      <c r="O359" s="2">
        <v>484</v>
      </c>
      <c r="P359" s="2">
        <v>4.2</v>
      </c>
      <c r="Q359" s="4">
        <v>48.81</v>
      </c>
      <c r="R359" s="5">
        <v>1037.0999999999999</v>
      </c>
      <c r="S359" s="5">
        <v>50620.85</v>
      </c>
      <c r="T359" s="6">
        <v>2.3099999999999999E-2</v>
      </c>
      <c r="U359" s="5">
        <v>49451.51</v>
      </c>
      <c r="V359" s="5">
        <v>1529.2</v>
      </c>
      <c r="W359" s="6">
        <v>0.2162</v>
      </c>
      <c r="X359" s="5">
        <v>10691.42</v>
      </c>
      <c r="Y359" s="2" t="s">
        <v>33</v>
      </c>
      <c r="Z359" s="2" t="s">
        <v>125</v>
      </c>
      <c r="AA359" s="2" t="s">
        <v>35</v>
      </c>
    </row>
    <row r="360" spans="1:27">
      <c r="A360" s="2" t="s">
        <v>485</v>
      </c>
      <c r="B360" s="3">
        <v>45330</v>
      </c>
      <c r="C360" s="2">
        <v>2024</v>
      </c>
      <c r="D360" s="2" t="s">
        <v>113</v>
      </c>
      <c r="E360" s="2" t="s">
        <v>60</v>
      </c>
      <c r="F360" s="2" t="s">
        <v>61</v>
      </c>
      <c r="G360" s="2" t="s">
        <v>132</v>
      </c>
      <c r="H360" s="2" t="s">
        <v>73</v>
      </c>
      <c r="I360" s="2" t="s">
        <v>88</v>
      </c>
      <c r="J360" s="2" t="s">
        <v>79</v>
      </c>
      <c r="K360" s="2" t="s">
        <v>43</v>
      </c>
      <c r="L360" s="2" t="s">
        <v>44</v>
      </c>
      <c r="M360" s="2" t="s">
        <v>85</v>
      </c>
      <c r="N360" s="2">
        <v>23.6</v>
      </c>
      <c r="O360" s="2">
        <v>28</v>
      </c>
      <c r="P360" s="2">
        <v>8.6</v>
      </c>
      <c r="Q360" s="4">
        <v>486.34</v>
      </c>
      <c r="R360" s="5">
        <v>757.99</v>
      </c>
      <c r="S360" s="5">
        <v>368640.86</v>
      </c>
      <c r="T360" s="6">
        <v>3.9E-2</v>
      </c>
      <c r="U360" s="5">
        <v>354263.87</v>
      </c>
      <c r="V360" s="5">
        <v>11887.72</v>
      </c>
      <c r="W360" s="6">
        <v>0.25440000000000002</v>
      </c>
      <c r="X360" s="5">
        <v>90124.73</v>
      </c>
      <c r="Y360" s="2" t="s">
        <v>75</v>
      </c>
      <c r="Z360" s="2" t="s">
        <v>106</v>
      </c>
      <c r="AA360" s="2" t="s">
        <v>35</v>
      </c>
    </row>
    <row r="361" spans="1:27">
      <c r="A361" s="2" t="s">
        <v>486</v>
      </c>
      <c r="B361" s="3">
        <v>45416</v>
      </c>
      <c r="C361" s="2">
        <v>2024</v>
      </c>
      <c r="D361" s="2" t="s">
        <v>81</v>
      </c>
      <c r="E361" s="2" t="s">
        <v>49</v>
      </c>
      <c r="F361" s="2" t="s">
        <v>98</v>
      </c>
      <c r="G361" s="2" t="s">
        <v>111</v>
      </c>
      <c r="H361" s="2" t="s">
        <v>73</v>
      </c>
      <c r="I361" s="2" t="s">
        <v>116</v>
      </c>
      <c r="J361" s="2" t="s">
        <v>79</v>
      </c>
      <c r="K361" s="2" t="s">
        <v>43</v>
      </c>
      <c r="L361" s="2" t="s">
        <v>44</v>
      </c>
      <c r="M361" s="2" t="s">
        <v>124</v>
      </c>
      <c r="N361" s="2">
        <v>38.409999999999997</v>
      </c>
      <c r="O361" s="2">
        <v>28</v>
      </c>
      <c r="P361" s="2">
        <v>5</v>
      </c>
      <c r="Q361" s="4">
        <v>206.4</v>
      </c>
      <c r="R361" s="5">
        <v>723.18</v>
      </c>
      <c r="S361" s="5">
        <v>149264.35</v>
      </c>
      <c r="T361" s="6">
        <v>1.8200000000000001E-2</v>
      </c>
      <c r="U361" s="5">
        <v>146547.74</v>
      </c>
      <c r="V361" s="5">
        <v>7430.98</v>
      </c>
      <c r="W361" s="6">
        <v>0.21740000000000001</v>
      </c>
      <c r="X361" s="5">
        <v>31859.48</v>
      </c>
      <c r="Y361" s="2" t="s">
        <v>56</v>
      </c>
      <c r="Z361" s="2" t="s">
        <v>80</v>
      </c>
      <c r="AA361" s="2" t="s">
        <v>35</v>
      </c>
    </row>
    <row r="362" spans="1:27">
      <c r="A362" s="2" t="s">
        <v>487</v>
      </c>
      <c r="B362" s="3">
        <v>45826</v>
      </c>
      <c r="C362" s="2">
        <v>2025</v>
      </c>
      <c r="D362" s="2" t="s">
        <v>91</v>
      </c>
      <c r="E362" s="2" t="s">
        <v>49</v>
      </c>
      <c r="F362" s="2" t="s">
        <v>38</v>
      </c>
      <c r="G362" s="2" t="s">
        <v>72</v>
      </c>
      <c r="H362" s="2" t="s">
        <v>73</v>
      </c>
      <c r="I362" s="2" t="s">
        <v>88</v>
      </c>
      <c r="J362" s="2" t="s">
        <v>79</v>
      </c>
      <c r="K362" s="2" t="s">
        <v>43</v>
      </c>
      <c r="L362" s="2" t="s">
        <v>44</v>
      </c>
      <c r="M362" s="2" t="s">
        <v>171</v>
      </c>
      <c r="N362" s="2">
        <v>31.56</v>
      </c>
      <c r="O362" s="2">
        <v>39</v>
      </c>
      <c r="P362" s="2">
        <v>5.0999999999999996</v>
      </c>
      <c r="Q362" s="4">
        <v>297.95999999999998</v>
      </c>
      <c r="R362" s="5">
        <v>781.38</v>
      </c>
      <c r="S362" s="5">
        <v>232819.98</v>
      </c>
      <c r="T362" s="6">
        <v>5.7700000000000001E-2</v>
      </c>
      <c r="U362" s="5">
        <v>219386.27</v>
      </c>
      <c r="V362" s="5">
        <v>5374.22</v>
      </c>
      <c r="W362" s="6">
        <v>0.2366</v>
      </c>
      <c r="X362" s="5">
        <v>51906.79</v>
      </c>
      <c r="Y362" s="2" t="s">
        <v>75</v>
      </c>
      <c r="Z362" s="2" t="s">
        <v>70</v>
      </c>
      <c r="AA362" s="2" t="s">
        <v>35</v>
      </c>
    </row>
    <row r="363" spans="1:27">
      <c r="A363" s="2" t="s">
        <v>488</v>
      </c>
      <c r="B363" s="3">
        <v>45360</v>
      </c>
      <c r="C363" s="2">
        <v>2024</v>
      </c>
      <c r="D363" s="2" t="s">
        <v>59</v>
      </c>
      <c r="E363" s="2" t="s">
        <v>60</v>
      </c>
      <c r="F363" s="2" t="s">
        <v>29</v>
      </c>
      <c r="G363" s="2" t="s">
        <v>95</v>
      </c>
      <c r="H363" s="2" t="s">
        <v>63</v>
      </c>
      <c r="I363" s="2" t="s">
        <v>74</v>
      </c>
      <c r="J363" s="2" t="s">
        <v>65</v>
      </c>
      <c r="K363" s="2" t="s">
        <v>100</v>
      </c>
      <c r="L363" s="2" t="s">
        <v>101</v>
      </c>
      <c r="M363" s="2" t="s">
        <v>145</v>
      </c>
      <c r="N363" s="2">
        <v>6.59</v>
      </c>
      <c r="O363" s="2">
        <v>492</v>
      </c>
      <c r="P363" s="2">
        <v>5.4</v>
      </c>
      <c r="Q363" s="4">
        <v>9.68</v>
      </c>
      <c r="R363" s="5">
        <v>1200.3499999999999</v>
      </c>
      <c r="S363" s="5">
        <v>11619.39</v>
      </c>
      <c r="T363" s="6">
        <v>1.43E-2</v>
      </c>
      <c r="U363" s="5">
        <v>11453.23</v>
      </c>
      <c r="V363" s="5">
        <v>296.20999999999998</v>
      </c>
      <c r="W363" s="6">
        <v>0.1416</v>
      </c>
      <c r="X363" s="5">
        <v>1621.78</v>
      </c>
      <c r="Y363" s="2" t="s">
        <v>75</v>
      </c>
      <c r="Z363" s="2" t="s">
        <v>125</v>
      </c>
      <c r="AA363" s="2" t="s">
        <v>35</v>
      </c>
    </row>
    <row r="364" spans="1:27">
      <c r="A364" s="2" t="s">
        <v>489</v>
      </c>
      <c r="B364" s="3">
        <v>45762</v>
      </c>
      <c r="C364" s="2">
        <v>2025</v>
      </c>
      <c r="D364" s="2" t="s">
        <v>48</v>
      </c>
      <c r="E364" s="2" t="s">
        <v>49</v>
      </c>
      <c r="F364" s="2" t="s">
        <v>86</v>
      </c>
      <c r="G364" s="2" t="s">
        <v>87</v>
      </c>
      <c r="H364" s="2" t="s">
        <v>40</v>
      </c>
      <c r="I364" s="2" t="s">
        <v>93</v>
      </c>
      <c r="J364" s="2" t="s">
        <v>79</v>
      </c>
      <c r="K364" s="2" t="s">
        <v>100</v>
      </c>
      <c r="L364" s="2" t="s">
        <v>101</v>
      </c>
      <c r="M364" s="2" t="s">
        <v>129</v>
      </c>
      <c r="N364" s="2">
        <v>5.39</v>
      </c>
      <c r="O364" s="2">
        <v>239</v>
      </c>
      <c r="P364" s="2">
        <v>4.7</v>
      </c>
      <c r="Q364" s="4">
        <v>123.3</v>
      </c>
      <c r="R364" s="5">
        <v>1115.57</v>
      </c>
      <c r="S364" s="5">
        <v>137549.78</v>
      </c>
      <c r="T364" s="6">
        <v>4.2799999999999998E-2</v>
      </c>
      <c r="U364" s="5">
        <v>131662.65</v>
      </c>
      <c r="V364" s="5">
        <v>7052.43</v>
      </c>
      <c r="W364" s="6">
        <v>0.22989999999999999</v>
      </c>
      <c r="X364" s="5">
        <v>30269.24</v>
      </c>
      <c r="Y364" s="2" t="s">
        <v>75</v>
      </c>
      <c r="Z364" s="2" t="s">
        <v>34</v>
      </c>
      <c r="AA364" s="2" t="s">
        <v>35</v>
      </c>
    </row>
    <row r="365" spans="1:27">
      <c r="A365" s="2" t="s">
        <v>490</v>
      </c>
      <c r="B365" s="3">
        <v>45962</v>
      </c>
      <c r="C365" s="2">
        <v>2025</v>
      </c>
      <c r="D365" s="2" t="s">
        <v>76</v>
      </c>
      <c r="E365" s="2" t="s">
        <v>77</v>
      </c>
      <c r="F365" s="2" t="s">
        <v>61</v>
      </c>
      <c r="G365" s="2" t="s">
        <v>132</v>
      </c>
      <c r="H365" s="2" t="s">
        <v>31</v>
      </c>
      <c r="I365" s="2" t="s">
        <v>52</v>
      </c>
      <c r="J365" s="2" t="s">
        <v>127</v>
      </c>
      <c r="K365" s="2" t="s">
        <v>54</v>
      </c>
      <c r="L365" s="2" t="s">
        <v>54</v>
      </c>
      <c r="M365" s="2" t="s">
        <v>162</v>
      </c>
      <c r="N365" s="2">
        <v>36.770000000000003</v>
      </c>
      <c r="O365" s="2">
        <v>1438</v>
      </c>
      <c r="P365" s="2">
        <v>11.3</v>
      </c>
      <c r="Q365" s="4">
        <v>200.68</v>
      </c>
      <c r="R365" s="5">
        <v>1206.6500000000001</v>
      </c>
      <c r="S365" s="5">
        <v>242150.52</v>
      </c>
      <c r="T365" s="6">
        <v>6.2700000000000006E-2</v>
      </c>
      <c r="U365" s="5">
        <v>226967.67999999999</v>
      </c>
      <c r="V365" s="5">
        <v>11106.86</v>
      </c>
      <c r="W365" s="6">
        <v>0.1537</v>
      </c>
      <c r="X365" s="5">
        <v>34884.93</v>
      </c>
      <c r="Y365" s="2" t="s">
        <v>69</v>
      </c>
      <c r="Z365" s="2" t="s">
        <v>57</v>
      </c>
      <c r="AA365" s="2" t="s">
        <v>35</v>
      </c>
    </row>
    <row r="366" spans="1:27">
      <c r="A366" s="2" t="s">
        <v>491</v>
      </c>
      <c r="B366" s="3">
        <v>45419</v>
      </c>
      <c r="C366" s="2">
        <v>2024</v>
      </c>
      <c r="D366" s="2" t="s">
        <v>81</v>
      </c>
      <c r="E366" s="2" t="s">
        <v>49</v>
      </c>
      <c r="F366" s="2" t="s">
        <v>61</v>
      </c>
      <c r="G366" s="2" t="s">
        <v>62</v>
      </c>
      <c r="H366" s="2" t="s">
        <v>63</v>
      </c>
      <c r="I366" s="2" t="s">
        <v>52</v>
      </c>
      <c r="J366" s="2" t="s">
        <v>42</v>
      </c>
      <c r="K366" s="2" t="s">
        <v>100</v>
      </c>
      <c r="L366" s="2" t="s">
        <v>101</v>
      </c>
      <c r="M366" s="2" t="s">
        <v>102</v>
      </c>
      <c r="N366" s="2">
        <v>9.02</v>
      </c>
      <c r="O366" s="2">
        <v>434</v>
      </c>
      <c r="P366" s="2">
        <v>10.3</v>
      </c>
      <c r="Q366" s="4">
        <v>69.989999999999995</v>
      </c>
      <c r="R366" s="5">
        <v>1211.51</v>
      </c>
      <c r="S366" s="5">
        <v>84793.58</v>
      </c>
      <c r="T366" s="6">
        <v>5.4800000000000001E-2</v>
      </c>
      <c r="U366" s="5">
        <v>80146.89</v>
      </c>
      <c r="V366" s="5">
        <v>2877.82</v>
      </c>
      <c r="W366" s="6">
        <v>0.21640000000000001</v>
      </c>
      <c r="X366" s="5">
        <v>17343.79</v>
      </c>
      <c r="Y366" s="2" t="s">
        <v>56</v>
      </c>
      <c r="Z366" s="2" t="s">
        <v>57</v>
      </c>
      <c r="AA366" s="2" t="s">
        <v>35</v>
      </c>
    </row>
    <row r="367" spans="1:27">
      <c r="A367" s="2" t="s">
        <v>492</v>
      </c>
      <c r="B367" s="3">
        <v>45488</v>
      </c>
      <c r="C367" s="2">
        <v>2024</v>
      </c>
      <c r="D367" s="2" t="s">
        <v>104</v>
      </c>
      <c r="E367" s="2" t="s">
        <v>28</v>
      </c>
      <c r="F367" s="2" t="s">
        <v>38</v>
      </c>
      <c r="G367" s="2" t="s">
        <v>72</v>
      </c>
      <c r="H367" s="2" t="s">
        <v>40</v>
      </c>
      <c r="I367" s="2" t="s">
        <v>88</v>
      </c>
      <c r="J367" s="2" t="s">
        <v>53</v>
      </c>
      <c r="K367" s="2" t="s">
        <v>54</v>
      </c>
      <c r="L367" s="2" t="s">
        <v>54</v>
      </c>
      <c r="M367" s="2" t="s">
        <v>55</v>
      </c>
      <c r="N367" s="2">
        <v>46.68</v>
      </c>
      <c r="O367" s="2">
        <v>2183</v>
      </c>
      <c r="P367" s="2">
        <v>3.8</v>
      </c>
      <c r="Q367" s="4">
        <v>110.93</v>
      </c>
      <c r="R367" s="5">
        <v>1164.26</v>
      </c>
      <c r="S367" s="5">
        <v>129151.36</v>
      </c>
      <c r="T367" s="6">
        <v>5.8900000000000001E-2</v>
      </c>
      <c r="U367" s="5">
        <v>121544.34</v>
      </c>
      <c r="V367" s="5">
        <v>9635.4599999999991</v>
      </c>
      <c r="W367" s="6">
        <v>0.15310000000000001</v>
      </c>
      <c r="X367" s="5">
        <v>18608.439999999999</v>
      </c>
      <c r="Y367" s="2" t="s">
        <v>75</v>
      </c>
      <c r="Z367" s="2" t="s">
        <v>125</v>
      </c>
      <c r="AA367" s="2" t="s">
        <v>35</v>
      </c>
    </row>
    <row r="368" spans="1:27">
      <c r="A368" s="2" t="s">
        <v>493</v>
      </c>
      <c r="B368" s="3">
        <v>45923</v>
      </c>
      <c r="C368" s="2">
        <v>2025</v>
      </c>
      <c r="D368" s="2" t="s">
        <v>37</v>
      </c>
      <c r="E368" s="2" t="s">
        <v>28</v>
      </c>
      <c r="F368" s="2" t="s">
        <v>86</v>
      </c>
      <c r="G368" s="2" t="s">
        <v>134</v>
      </c>
      <c r="H368" s="2" t="s">
        <v>31</v>
      </c>
      <c r="I368" s="2" t="s">
        <v>116</v>
      </c>
      <c r="J368" s="2" t="s">
        <v>65</v>
      </c>
      <c r="K368" s="2" t="s">
        <v>66</v>
      </c>
      <c r="L368" s="2" t="s">
        <v>67</v>
      </c>
      <c r="M368" s="2" t="s">
        <v>68</v>
      </c>
      <c r="N368" s="2">
        <v>15.19</v>
      </c>
      <c r="O368" s="2">
        <v>95</v>
      </c>
      <c r="P368" s="2">
        <v>7.4</v>
      </c>
      <c r="Q368" s="4">
        <v>194.42</v>
      </c>
      <c r="R368" s="5">
        <v>1517.09</v>
      </c>
      <c r="S368" s="5">
        <v>294952.64</v>
      </c>
      <c r="T368" s="6">
        <v>5.5300000000000002E-2</v>
      </c>
      <c r="U368" s="5">
        <v>278641.76</v>
      </c>
      <c r="V368" s="5">
        <v>12494.35</v>
      </c>
      <c r="W368" s="6">
        <v>0.16739999999999999</v>
      </c>
      <c r="X368" s="5">
        <v>46644.63</v>
      </c>
      <c r="Y368" s="2" t="s">
        <v>33</v>
      </c>
      <c r="Z368" s="2" t="s">
        <v>80</v>
      </c>
      <c r="AA368" s="2" t="s">
        <v>35</v>
      </c>
    </row>
    <row r="369" spans="1:27">
      <c r="A369" s="2" t="s">
        <v>494</v>
      </c>
      <c r="B369" s="3">
        <v>45860</v>
      </c>
      <c r="C369" s="2">
        <v>2025</v>
      </c>
      <c r="D369" s="2" t="s">
        <v>104</v>
      </c>
      <c r="E369" s="2" t="s">
        <v>28</v>
      </c>
      <c r="F369" s="2" t="s">
        <v>50</v>
      </c>
      <c r="G369" s="2" t="s">
        <v>92</v>
      </c>
      <c r="H369" s="2" t="s">
        <v>40</v>
      </c>
      <c r="I369" s="2" t="s">
        <v>116</v>
      </c>
      <c r="J369" s="2" t="s">
        <v>127</v>
      </c>
      <c r="K369" s="2" t="s">
        <v>54</v>
      </c>
      <c r="L369" s="2" t="s">
        <v>54</v>
      </c>
      <c r="M369" s="2" t="s">
        <v>94</v>
      </c>
      <c r="N369" s="2">
        <v>68.91</v>
      </c>
      <c r="O369" s="2">
        <v>2022</v>
      </c>
      <c r="P369" s="2">
        <v>10.4</v>
      </c>
      <c r="Q369" s="4">
        <v>77.89</v>
      </c>
      <c r="R369" s="5">
        <v>1218.17</v>
      </c>
      <c r="S369" s="5">
        <v>94883.26</v>
      </c>
      <c r="T369" s="6">
        <v>4.9099999999999998E-2</v>
      </c>
      <c r="U369" s="5">
        <v>90224.49</v>
      </c>
      <c r="V369" s="5">
        <v>5138.66</v>
      </c>
      <c r="W369" s="6">
        <v>0.2392</v>
      </c>
      <c r="X369" s="5">
        <v>21581.7</v>
      </c>
      <c r="Y369" s="2" t="s">
        <v>83</v>
      </c>
      <c r="Z369" s="2" t="s">
        <v>106</v>
      </c>
      <c r="AA369" s="2" t="s">
        <v>35</v>
      </c>
    </row>
    <row r="370" spans="1:27">
      <c r="A370" s="2" t="s">
        <v>495</v>
      </c>
      <c r="B370" s="3">
        <v>45361</v>
      </c>
      <c r="C370" s="2">
        <v>2024</v>
      </c>
      <c r="D370" s="2" t="s">
        <v>59</v>
      </c>
      <c r="E370" s="2" t="s">
        <v>60</v>
      </c>
      <c r="F370" s="2" t="s">
        <v>118</v>
      </c>
      <c r="G370" s="2" t="s">
        <v>119</v>
      </c>
      <c r="H370" s="2" t="s">
        <v>63</v>
      </c>
      <c r="I370" s="2" t="s">
        <v>88</v>
      </c>
      <c r="J370" s="2" t="s">
        <v>65</v>
      </c>
      <c r="K370" s="2" t="s">
        <v>66</v>
      </c>
      <c r="L370" s="2" t="s">
        <v>67</v>
      </c>
      <c r="M370" s="2" t="s">
        <v>140</v>
      </c>
      <c r="N370" s="2">
        <v>10.029999999999999</v>
      </c>
      <c r="O370" s="2">
        <v>65</v>
      </c>
      <c r="P370" s="2">
        <v>6.8</v>
      </c>
      <c r="Q370" s="4">
        <v>130.4</v>
      </c>
      <c r="R370" s="5">
        <v>1572.47</v>
      </c>
      <c r="S370" s="5">
        <v>205050.09</v>
      </c>
      <c r="T370" s="6">
        <v>3.9300000000000002E-2</v>
      </c>
      <c r="U370" s="5">
        <v>196991.62</v>
      </c>
      <c r="V370" s="5">
        <v>5253.97</v>
      </c>
      <c r="W370" s="6">
        <v>0.2802</v>
      </c>
      <c r="X370" s="5">
        <v>55197.05</v>
      </c>
      <c r="Y370" s="2" t="s">
        <v>75</v>
      </c>
      <c r="Z370" s="2" t="s">
        <v>106</v>
      </c>
      <c r="AA370" s="2" t="s">
        <v>35</v>
      </c>
    </row>
    <row r="371" spans="1:27">
      <c r="A371" s="2" t="s">
        <v>496</v>
      </c>
      <c r="B371" s="3">
        <v>45681</v>
      </c>
      <c r="C371" s="2">
        <v>2025</v>
      </c>
      <c r="D371" s="2" t="s">
        <v>71</v>
      </c>
      <c r="E371" s="2" t="s">
        <v>60</v>
      </c>
      <c r="F371" s="2" t="s">
        <v>29</v>
      </c>
      <c r="G371" s="2" t="s">
        <v>30</v>
      </c>
      <c r="H371" s="2" t="s">
        <v>31</v>
      </c>
      <c r="I371" s="2" t="s">
        <v>41</v>
      </c>
      <c r="J371" s="2" t="s">
        <v>65</v>
      </c>
      <c r="K371" s="2" t="s">
        <v>66</v>
      </c>
      <c r="L371" s="2" t="s">
        <v>67</v>
      </c>
      <c r="M371" s="2" t="s">
        <v>152</v>
      </c>
      <c r="N371" s="2">
        <v>8.57</v>
      </c>
      <c r="O371" s="2">
        <v>117</v>
      </c>
      <c r="P371" s="2">
        <v>10.3</v>
      </c>
      <c r="Q371" s="4">
        <v>111.17</v>
      </c>
      <c r="R371" s="5">
        <v>1625.91</v>
      </c>
      <c r="S371" s="5">
        <v>180752.41</v>
      </c>
      <c r="T371" s="6">
        <v>2.7699999999999999E-2</v>
      </c>
      <c r="U371" s="5">
        <v>175745.57</v>
      </c>
      <c r="V371" s="5">
        <v>5936.03</v>
      </c>
      <c r="W371" s="6">
        <v>0.22969999999999999</v>
      </c>
      <c r="X371" s="5">
        <v>40368.76</v>
      </c>
      <c r="Y371" s="2" t="s">
        <v>56</v>
      </c>
      <c r="Z371" s="2" t="s">
        <v>57</v>
      </c>
      <c r="AA371" s="2" t="s">
        <v>35</v>
      </c>
    </row>
    <row r="372" spans="1:27">
      <c r="A372" s="2" t="s">
        <v>497</v>
      </c>
      <c r="B372" s="3">
        <v>45754</v>
      </c>
      <c r="C372" s="2">
        <v>2025</v>
      </c>
      <c r="D372" s="2" t="s">
        <v>48</v>
      </c>
      <c r="E372" s="2" t="s">
        <v>49</v>
      </c>
      <c r="F372" s="2" t="s">
        <v>86</v>
      </c>
      <c r="G372" s="2" t="s">
        <v>87</v>
      </c>
      <c r="H372" s="2" t="s">
        <v>73</v>
      </c>
      <c r="I372" s="2" t="s">
        <v>52</v>
      </c>
      <c r="J372" s="2" t="s">
        <v>79</v>
      </c>
      <c r="K372" s="2" t="s">
        <v>43</v>
      </c>
      <c r="L372" s="2" t="s">
        <v>44</v>
      </c>
      <c r="M372" s="2" t="s">
        <v>45</v>
      </c>
      <c r="N372" s="2">
        <v>16.440000000000001</v>
      </c>
      <c r="O372" s="2">
        <v>29</v>
      </c>
      <c r="P372" s="2">
        <v>10.7</v>
      </c>
      <c r="Q372" s="4">
        <v>28.12</v>
      </c>
      <c r="R372" s="5">
        <v>796.84</v>
      </c>
      <c r="S372" s="5">
        <v>22407.14</v>
      </c>
      <c r="T372" s="6">
        <v>4.2500000000000003E-2</v>
      </c>
      <c r="U372" s="5">
        <v>21454.84</v>
      </c>
      <c r="V372" s="5">
        <v>1180.1400000000001</v>
      </c>
      <c r="W372" s="6">
        <v>0.18509999999999999</v>
      </c>
      <c r="X372" s="5">
        <v>3971.29</v>
      </c>
      <c r="Y372" s="2" t="s">
        <v>69</v>
      </c>
      <c r="Z372" s="2" t="s">
        <v>125</v>
      </c>
      <c r="AA372" s="2" t="s">
        <v>35</v>
      </c>
    </row>
    <row r="373" spans="1:27">
      <c r="A373" s="2" t="s">
        <v>498</v>
      </c>
      <c r="B373" s="3">
        <v>45823</v>
      </c>
      <c r="C373" s="2">
        <v>2025</v>
      </c>
      <c r="D373" s="2" t="s">
        <v>91</v>
      </c>
      <c r="E373" s="2" t="s">
        <v>49</v>
      </c>
      <c r="F373" s="2" t="s">
        <v>61</v>
      </c>
      <c r="G373" s="2" t="s">
        <v>132</v>
      </c>
      <c r="H373" s="2" t="s">
        <v>31</v>
      </c>
      <c r="I373" s="2" t="s">
        <v>32</v>
      </c>
      <c r="J373" s="2" t="s">
        <v>79</v>
      </c>
      <c r="K373" s="2" t="s">
        <v>100</v>
      </c>
      <c r="L373" s="2" t="s">
        <v>101</v>
      </c>
      <c r="M373" s="2" t="s">
        <v>102</v>
      </c>
      <c r="N373" s="2">
        <v>12.66</v>
      </c>
      <c r="O373" s="2">
        <v>311</v>
      </c>
      <c r="P373" s="2">
        <v>8.9</v>
      </c>
      <c r="Q373" s="4">
        <v>96.14</v>
      </c>
      <c r="R373" s="5">
        <v>1312.78</v>
      </c>
      <c r="S373" s="5">
        <v>126210.67</v>
      </c>
      <c r="T373" s="6">
        <v>5.7099999999999998E-2</v>
      </c>
      <c r="U373" s="5">
        <v>119004.04</v>
      </c>
      <c r="V373" s="5">
        <v>5808.07</v>
      </c>
      <c r="W373" s="6">
        <v>0.2346</v>
      </c>
      <c r="X373" s="5">
        <v>27918.35</v>
      </c>
      <c r="Y373" s="2" t="s">
        <v>69</v>
      </c>
      <c r="Z373" s="2" t="s">
        <v>57</v>
      </c>
      <c r="AA373" s="2" t="s">
        <v>35</v>
      </c>
    </row>
    <row r="374" spans="1:27">
      <c r="A374" s="2" t="s">
        <v>499</v>
      </c>
      <c r="B374" s="3">
        <v>45897</v>
      </c>
      <c r="C374" s="2">
        <v>2025</v>
      </c>
      <c r="D374" s="2" t="s">
        <v>27</v>
      </c>
      <c r="E374" s="2" t="s">
        <v>28</v>
      </c>
      <c r="F374" s="2" t="s">
        <v>61</v>
      </c>
      <c r="G374" s="2" t="s">
        <v>62</v>
      </c>
      <c r="H374" s="2" t="s">
        <v>40</v>
      </c>
      <c r="I374" s="2" t="s">
        <v>41</v>
      </c>
      <c r="J374" s="2" t="s">
        <v>65</v>
      </c>
      <c r="K374" s="2" t="s">
        <v>66</v>
      </c>
      <c r="L374" s="2" t="s">
        <v>67</v>
      </c>
      <c r="M374" s="2" t="s">
        <v>122</v>
      </c>
      <c r="N374" s="2">
        <v>12.93</v>
      </c>
      <c r="O374" s="2">
        <v>105</v>
      </c>
      <c r="P374" s="2">
        <v>7</v>
      </c>
      <c r="Q374" s="4">
        <v>133.93</v>
      </c>
      <c r="R374" s="5">
        <v>1630.29</v>
      </c>
      <c r="S374" s="5">
        <v>218344.74</v>
      </c>
      <c r="T374" s="6">
        <v>2.7900000000000001E-2</v>
      </c>
      <c r="U374" s="5">
        <v>212252.92</v>
      </c>
      <c r="V374" s="5">
        <v>11435.23</v>
      </c>
      <c r="W374" s="6">
        <v>0.27289999999999998</v>
      </c>
      <c r="X374" s="5">
        <v>57923.82</v>
      </c>
      <c r="Y374" s="2" t="s">
        <v>56</v>
      </c>
      <c r="Z374" s="2" t="s">
        <v>80</v>
      </c>
      <c r="AA374" s="2" t="s">
        <v>35</v>
      </c>
    </row>
    <row r="375" spans="1:27">
      <c r="A375" s="2" t="s">
        <v>500</v>
      </c>
      <c r="B375" s="3">
        <v>45980</v>
      </c>
      <c r="C375" s="2">
        <v>2025</v>
      </c>
      <c r="D375" s="2" t="s">
        <v>76</v>
      </c>
      <c r="E375" s="2" t="s">
        <v>77</v>
      </c>
      <c r="F375" s="2" t="s">
        <v>29</v>
      </c>
      <c r="G375" s="2" t="s">
        <v>30</v>
      </c>
      <c r="H375" s="2" t="s">
        <v>73</v>
      </c>
      <c r="I375" s="2" t="s">
        <v>64</v>
      </c>
      <c r="J375" s="2" t="s">
        <v>53</v>
      </c>
      <c r="K375" s="2" t="s">
        <v>54</v>
      </c>
      <c r="L375" s="2" t="s">
        <v>54</v>
      </c>
      <c r="M375" s="2" t="s">
        <v>55</v>
      </c>
      <c r="N375" s="2">
        <v>20.79</v>
      </c>
      <c r="O375" s="2">
        <v>2297</v>
      </c>
      <c r="P375" s="2">
        <v>10.3</v>
      </c>
      <c r="Q375" s="4">
        <v>99.26</v>
      </c>
      <c r="R375" s="5">
        <v>1262.21</v>
      </c>
      <c r="S375" s="5">
        <v>125286.96</v>
      </c>
      <c r="T375" s="6">
        <v>4.4400000000000002E-2</v>
      </c>
      <c r="U375" s="5">
        <v>119724.22</v>
      </c>
      <c r="V375" s="5">
        <v>1965.71</v>
      </c>
      <c r="W375" s="6">
        <v>0.1658</v>
      </c>
      <c r="X375" s="5">
        <v>19850.28</v>
      </c>
      <c r="Y375" s="2" t="s">
        <v>69</v>
      </c>
      <c r="Z375" s="2" t="s">
        <v>46</v>
      </c>
      <c r="AA375" s="2" t="s">
        <v>35</v>
      </c>
    </row>
    <row r="376" spans="1:27">
      <c r="A376" s="2" t="s">
        <v>501</v>
      </c>
      <c r="B376" s="3">
        <v>45692</v>
      </c>
      <c r="C376" s="2">
        <v>2025</v>
      </c>
      <c r="D376" s="2" t="s">
        <v>113</v>
      </c>
      <c r="E376" s="2" t="s">
        <v>60</v>
      </c>
      <c r="F376" s="2" t="s">
        <v>38</v>
      </c>
      <c r="G376" s="2" t="s">
        <v>72</v>
      </c>
      <c r="H376" s="2" t="s">
        <v>31</v>
      </c>
      <c r="I376" s="2" t="s">
        <v>88</v>
      </c>
      <c r="J376" s="2" t="s">
        <v>79</v>
      </c>
      <c r="K376" s="2" t="s">
        <v>100</v>
      </c>
      <c r="L376" s="2" t="s">
        <v>101</v>
      </c>
      <c r="M376" s="2" t="s">
        <v>129</v>
      </c>
      <c r="N376" s="2">
        <v>6.14</v>
      </c>
      <c r="O376" s="2">
        <v>568</v>
      </c>
      <c r="P376" s="2">
        <v>10.9</v>
      </c>
      <c r="Q376" s="4">
        <v>200.34</v>
      </c>
      <c r="R376" s="5">
        <v>1213.51</v>
      </c>
      <c r="S376" s="5">
        <v>243114.59</v>
      </c>
      <c r="T376" s="6">
        <v>2.5700000000000001E-2</v>
      </c>
      <c r="U376" s="5">
        <v>236866.55</v>
      </c>
      <c r="V376" s="5">
        <v>16677.099999999999</v>
      </c>
      <c r="W376" s="6">
        <v>0.188</v>
      </c>
      <c r="X376" s="5">
        <v>44530.91</v>
      </c>
      <c r="Y376" s="2" t="s">
        <v>33</v>
      </c>
      <c r="Z376" s="2" t="s">
        <v>46</v>
      </c>
      <c r="AA376" s="2" t="s">
        <v>35</v>
      </c>
    </row>
    <row r="377" spans="1:27">
      <c r="A377" s="2" t="s">
        <v>502</v>
      </c>
      <c r="B377" s="3">
        <v>45390</v>
      </c>
      <c r="C377" s="2">
        <v>2024</v>
      </c>
      <c r="D377" s="2" t="s">
        <v>48</v>
      </c>
      <c r="E377" s="2" t="s">
        <v>49</v>
      </c>
      <c r="F377" s="2" t="s">
        <v>61</v>
      </c>
      <c r="G377" s="2" t="s">
        <v>114</v>
      </c>
      <c r="H377" s="2" t="s">
        <v>40</v>
      </c>
      <c r="I377" s="2" t="s">
        <v>32</v>
      </c>
      <c r="J377" s="2" t="s">
        <v>79</v>
      </c>
      <c r="K377" s="2" t="s">
        <v>100</v>
      </c>
      <c r="L377" s="2" t="s">
        <v>101</v>
      </c>
      <c r="M377" s="2" t="s">
        <v>102</v>
      </c>
      <c r="N377" s="2">
        <v>12.38</v>
      </c>
      <c r="O377" s="2">
        <v>580</v>
      </c>
      <c r="P377" s="2">
        <v>6.7</v>
      </c>
      <c r="Q377" s="4">
        <v>164.4</v>
      </c>
      <c r="R377" s="5">
        <v>1416.88</v>
      </c>
      <c r="S377" s="5">
        <v>232935.07</v>
      </c>
      <c r="T377" s="6">
        <v>6.13E-2</v>
      </c>
      <c r="U377" s="5">
        <v>218656.15</v>
      </c>
      <c r="V377" s="5">
        <v>14532.68</v>
      </c>
      <c r="W377" s="6">
        <v>0.16919999999999999</v>
      </c>
      <c r="X377" s="5">
        <v>36996.620000000003</v>
      </c>
      <c r="Y377" s="2" t="s">
        <v>83</v>
      </c>
      <c r="Z377" s="2" t="s">
        <v>80</v>
      </c>
      <c r="AA377" s="2" t="s">
        <v>35</v>
      </c>
    </row>
    <row r="378" spans="1:27">
      <c r="A378" s="2" t="s">
        <v>503</v>
      </c>
      <c r="B378" s="3">
        <v>45541</v>
      </c>
      <c r="C378" s="2">
        <v>2024</v>
      </c>
      <c r="D378" s="2" t="s">
        <v>37</v>
      </c>
      <c r="E378" s="2" t="s">
        <v>28</v>
      </c>
      <c r="F378" s="2" t="s">
        <v>86</v>
      </c>
      <c r="G378" s="2" t="s">
        <v>117</v>
      </c>
      <c r="H378" s="2" t="s">
        <v>31</v>
      </c>
      <c r="I378" s="2" t="s">
        <v>64</v>
      </c>
      <c r="J378" s="2" t="s">
        <v>65</v>
      </c>
      <c r="K378" s="2" t="s">
        <v>66</v>
      </c>
      <c r="L378" s="2" t="s">
        <v>67</v>
      </c>
      <c r="M378" s="2" t="s">
        <v>140</v>
      </c>
      <c r="N378" s="2">
        <v>14.68</v>
      </c>
      <c r="O378" s="2">
        <v>215</v>
      </c>
      <c r="P378" s="2">
        <v>3.6</v>
      </c>
      <c r="Q378" s="4">
        <v>6.77</v>
      </c>
      <c r="R378" s="5">
        <v>1350.68</v>
      </c>
      <c r="S378" s="5">
        <v>9144.1</v>
      </c>
      <c r="T378" s="6">
        <v>5.8000000000000003E-2</v>
      </c>
      <c r="U378" s="5">
        <v>8613.74</v>
      </c>
      <c r="V378" s="5">
        <v>520.99</v>
      </c>
      <c r="W378" s="6">
        <v>0.1623</v>
      </c>
      <c r="X378" s="5">
        <v>1398.01</v>
      </c>
      <c r="Y378" s="2" t="s">
        <v>56</v>
      </c>
      <c r="Z378" s="2" t="s">
        <v>57</v>
      </c>
      <c r="AA378" s="2" t="s">
        <v>35</v>
      </c>
    </row>
    <row r="379" spans="1:27">
      <c r="A379" s="2" t="s">
        <v>504</v>
      </c>
      <c r="B379" s="3">
        <v>45677</v>
      </c>
      <c r="C379" s="2">
        <v>2025</v>
      </c>
      <c r="D379" s="2" t="s">
        <v>71</v>
      </c>
      <c r="E379" s="2" t="s">
        <v>60</v>
      </c>
      <c r="F379" s="2" t="s">
        <v>86</v>
      </c>
      <c r="G379" s="2" t="s">
        <v>87</v>
      </c>
      <c r="H379" s="2" t="s">
        <v>73</v>
      </c>
      <c r="I379" s="2" t="s">
        <v>41</v>
      </c>
      <c r="J379" s="2" t="s">
        <v>53</v>
      </c>
      <c r="K379" s="2" t="s">
        <v>54</v>
      </c>
      <c r="L379" s="2" t="s">
        <v>54</v>
      </c>
      <c r="M379" s="2" t="s">
        <v>55</v>
      </c>
      <c r="N379" s="2">
        <v>33.68</v>
      </c>
      <c r="O379" s="2">
        <v>3046</v>
      </c>
      <c r="P379" s="2">
        <v>4.5999999999999996</v>
      </c>
      <c r="Q379" s="4">
        <v>88.61</v>
      </c>
      <c r="R379" s="5">
        <v>1051.4100000000001</v>
      </c>
      <c r="S379" s="5">
        <v>93165.440000000002</v>
      </c>
      <c r="T379" s="6">
        <v>1.7999999999999999E-2</v>
      </c>
      <c r="U379" s="5">
        <v>91488.46</v>
      </c>
      <c r="V379" s="5">
        <v>3584.13</v>
      </c>
      <c r="W379" s="6">
        <v>0.11840000000000001</v>
      </c>
      <c r="X379" s="5">
        <v>10832.23</v>
      </c>
      <c r="Y379" s="2" t="s">
        <v>75</v>
      </c>
      <c r="Z379" s="2" t="s">
        <v>89</v>
      </c>
      <c r="AA379" s="2" t="s">
        <v>35</v>
      </c>
    </row>
    <row r="380" spans="1:27">
      <c r="A380" s="2" t="s">
        <v>505</v>
      </c>
      <c r="B380" s="3">
        <v>45765</v>
      </c>
      <c r="C380" s="2">
        <v>2025</v>
      </c>
      <c r="D380" s="2" t="s">
        <v>48</v>
      </c>
      <c r="E380" s="2" t="s">
        <v>49</v>
      </c>
      <c r="F380" s="2" t="s">
        <v>61</v>
      </c>
      <c r="G380" s="2" t="s">
        <v>62</v>
      </c>
      <c r="H380" s="2" t="s">
        <v>31</v>
      </c>
      <c r="I380" s="2" t="s">
        <v>74</v>
      </c>
      <c r="J380" s="2" t="s">
        <v>79</v>
      </c>
      <c r="K380" s="2" t="s">
        <v>100</v>
      </c>
      <c r="L380" s="2" t="s">
        <v>101</v>
      </c>
      <c r="M380" s="2" t="s">
        <v>108</v>
      </c>
      <c r="N380" s="2">
        <v>11.24</v>
      </c>
      <c r="O380" s="2">
        <v>198</v>
      </c>
      <c r="P380" s="2">
        <v>7.4</v>
      </c>
      <c r="Q380" s="4">
        <v>169.49</v>
      </c>
      <c r="R380" s="5">
        <v>1350.17</v>
      </c>
      <c r="S380" s="5">
        <v>228840.31</v>
      </c>
      <c r="T380" s="6">
        <v>3.3399999999999999E-2</v>
      </c>
      <c r="U380" s="5">
        <v>221197.04</v>
      </c>
      <c r="V380" s="5">
        <v>9654.6</v>
      </c>
      <c r="W380" s="6">
        <v>0.20150000000000001</v>
      </c>
      <c r="X380" s="5">
        <v>44571.199999999997</v>
      </c>
      <c r="Y380" s="2" t="s">
        <v>83</v>
      </c>
      <c r="Z380" s="2" t="s">
        <v>57</v>
      </c>
      <c r="AA380" s="2" t="s">
        <v>35</v>
      </c>
    </row>
    <row r="381" spans="1:27">
      <c r="A381" s="2" t="s">
        <v>506</v>
      </c>
      <c r="B381" s="3">
        <v>45767</v>
      </c>
      <c r="C381" s="2">
        <v>2025</v>
      </c>
      <c r="D381" s="2" t="s">
        <v>48</v>
      </c>
      <c r="E381" s="2" t="s">
        <v>49</v>
      </c>
      <c r="F381" s="2" t="s">
        <v>118</v>
      </c>
      <c r="G381" s="2" t="s">
        <v>121</v>
      </c>
      <c r="H381" s="2" t="s">
        <v>63</v>
      </c>
      <c r="I381" s="2" t="s">
        <v>74</v>
      </c>
      <c r="J381" s="2" t="s">
        <v>79</v>
      </c>
      <c r="K381" s="2" t="s">
        <v>100</v>
      </c>
      <c r="L381" s="2" t="s">
        <v>101</v>
      </c>
      <c r="M381" s="2" t="s">
        <v>108</v>
      </c>
      <c r="N381" s="2">
        <v>15.72</v>
      </c>
      <c r="O381" s="2">
        <v>303</v>
      </c>
      <c r="P381" s="2">
        <v>5.8</v>
      </c>
      <c r="Q381" s="4">
        <v>60.86</v>
      </c>
      <c r="R381" s="5">
        <v>1067.8399999999999</v>
      </c>
      <c r="S381" s="5">
        <v>64988.74</v>
      </c>
      <c r="T381" s="6">
        <v>5.5899999999999998E-2</v>
      </c>
      <c r="U381" s="5">
        <v>61355.87</v>
      </c>
      <c r="V381" s="5">
        <v>1623.45</v>
      </c>
      <c r="W381" s="6">
        <v>0.23200000000000001</v>
      </c>
      <c r="X381" s="5">
        <v>14234.56</v>
      </c>
      <c r="Y381" s="2" t="s">
        <v>75</v>
      </c>
      <c r="Z381" s="2" t="s">
        <v>125</v>
      </c>
      <c r="AA381" s="2" t="s">
        <v>35</v>
      </c>
    </row>
    <row r="382" spans="1:27">
      <c r="A382" s="2" t="s">
        <v>507</v>
      </c>
      <c r="B382" s="3">
        <v>45615</v>
      </c>
      <c r="C382" s="2">
        <v>2024</v>
      </c>
      <c r="D382" s="2" t="s">
        <v>76</v>
      </c>
      <c r="E382" s="2" t="s">
        <v>77</v>
      </c>
      <c r="F382" s="2" t="s">
        <v>50</v>
      </c>
      <c r="G382" s="2" t="s">
        <v>92</v>
      </c>
      <c r="H382" s="2" t="s">
        <v>40</v>
      </c>
      <c r="I382" s="2" t="s">
        <v>116</v>
      </c>
      <c r="J382" s="2" t="s">
        <v>53</v>
      </c>
      <c r="K382" s="2" t="s">
        <v>54</v>
      </c>
      <c r="L382" s="2" t="s">
        <v>54</v>
      </c>
      <c r="M382" s="2" t="s">
        <v>158</v>
      </c>
      <c r="N382" s="2">
        <v>28.05</v>
      </c>
      <c r="O382" s="2">
        <v>3041</v>
      </c>
      <c r="P382" s="2">
        <v>8.1</v>
      </c>
      <c r="Q382" s="4">
        <v>38.04</v>
      </c>
      <c r="R382" s="5">
        <v>1136.24</v>
      </c>
      <c r="S382" s="5">
        <v>43222.57</v>
      </c>
      <c r="T382" s="6">
        <v>2.5499999999999998E-2</v>
      </c>
      <c r="U382" s="5">
        <v>42120.39</v>
      </c>
      <c r="V382" s="5">
        <v>2209.4</v>
      </c>
      <c r="W382" s="6">
        <v>0.24709999999999999</v>
      </c>
      <c r="X382" s="5">
        <v>10407.950000000001</v>
      </c>
      <c r="Y382" s="2" t="s">
        <v>33</v>
      </c>
      <c r="Z382" s="2" t="s">
        <v>34</v>
      </c>
      <c r="AA382" s="2" t="s">
        <v>35</v>
      </c>
    </row>
    <row r="383" spans="1:27">
      <c r="A383" s="2" t="s">
        <v>508</v>
      </c>
      <c r="B383" s="3">
        <v>45761</v>
      </c>
      <c r="C383" s="2">
        <v>2025</v>
      </c>
      <c r="D383" s="2" t="s">
        <v>48</v>
      </c>
      <c r="E383" s="2" t="s">
        <v>49</v>
      </c>
      <c r="F383" s="2" t="s">
        <v>29</v>
      </c>
      <c r="G383" s="2" t="s">
        <v>30</v>
      </c>
      <c r="H383" s="2" t="s">
        <v>40</v>
      </c>
      <c r="I383" s="2" t="s">
        <v>93</v>
      </c>
      <c r="J383" s="2" t="s">
        <v>65</v>
      </c>
      <c r="K383" s="2" t="s">
        <v>66</v>
      </c>
      <c r="L383" s="2" t="s">
        <v>67</v>
      </c>
      <c r="M383" s="2" t="s">
        <v>122</v>
      </c>
      <c r="N383" s="2">
        <v>7.16</v>
      </c>
      <c r="O383" s="2">
        <v>251</v>
      </c>
      <c r="P383" s="2">
        <v>11.8</v>
      </c>
      <c r="Q383" s="4">
        <v>256.75</v>
      </c>
      <c r="R383" s="5">
        <v>1593.46</v>
      </c>
      <c r="S383" s="5">
        <v>409120.85</v>
      </c>
      <c r="T383" s="6">
        <v>5.7799999999999997E-2</v>
      </c>
      <c r="U383" s="5">
        <v>385473.66</v>
      </c>
      <c r="V383" s="5">
        <v>21587.85</v>
      </c>
      <c r="W383" s="6">
        <v>0.22009999999999999</v>
      </c>
      <c r="X383" s="5">
        <v>84842.75</v>
      </c>
      <c r="Y383" s="2" t="s">
        <v>69</v>
      </c>
      <c r="Z383" s="2" t="s">
        <v>34</v>
      </c>
      <c r="AA383" s="2" t="s">
        <v>35</v>
      </c>
    </row>
    <row r="384" spans="1:27">
      <c r="A384" s="2" t="s">
        <v>509</v>
      </c>
      <c r="B384" s="3">
        <v>45712</v>
      </c>
      <c r="C384" s="2">
        <v>2025</v>
      </c>
      <c r="D384" s="2" t="s">
        <v>113</v>
      </c>
      <c r="E384" s="2" t="s">
        <v>60</v>
      </c>
      <c r="F384" s="2" t="s">
        <v>61</v>
      </c>
      <c r="G384" s="2" t="s">
        <v>62</v>
      </c>
      <c r="H384" s="2" t="s">
        <v>31</v>
      </c>
      <c r="I384" s="2" t="s">
        <v>88</v>
      </c>
      <c r="J384" s="2" t="s">
        <v>79</v>
      </c>
      <c r="K384" s="2" t="s">
        <v>100</v>
      </c>
      <c r="L384" s="2" t="s">
        <v>101</v>
      </c>
      <c r="M384" s="2" t="s">
        <v>145</v>
      </c>
      <c r="N384" s="2">
        <v>14.02</v>
      </c>
      <c r="O384" s="2">
        <v>381</v>
      </c>
      <c r="P384" s="2">
        <v>3.9</v>
      </c>
      <c r="Q384" s="4">
        <v>14.34</v>
      </c>
      <c r="R384" s="5">
        <v>1291.8699999999999</v>
      </c>
      <c r="S384" s="5">
        <v>18525.419999999998</v>
      </c>
      <c r="T384" s="6">
        <v>2.4199999999999999E-2</v>
      </c>
      <c r="U384" s="5">
        <v>18077.099999999999</v>
      </c>
      <c r="V384" s="5">
        <v>1101.01</v>
      </c>
      <c r="W384" s="6">
        <v>0.1174</v>
      </c>
      <c r="X384" s="5">
        <v>2122.25</v>
      </c>
      <c r="Y384" s="2" t="s">
        <v>75</v>
      </c>
      <c r="Z384" s="2" t="s">
        <v>34</v>
      </c>
      <c r="AA384" s="2" t="s">
        <v>35</v>
      </c>
    </row>
    <row r="385" spans="1:27">
      <c r="A385" s="2" t="s">
        <v>510</v>
      </c>
      <c r="B385" s="3">
        <v>45559</v>
      </c>
      <c r="C385" s="2">
        <v>2024</v>
      </c>
      <c r="D385" s="2" t="s">
        <v>37</v>
      </c>
      <c r="E385" s="2" t="s">
        <v>28</v>
      </c>
      <c r="F385" s="2" t="s">
        <v>61</v>
      </c>
      <c r="G385" s="2" t="s">
        <v>62</v>
      </c>
      <c r="H385" s="2" t="s">
        <v>73</v>
      </c>
      <c r="I385" s="2" t="s">
        <v>93</v>
      </c>
      <c r="J385" s="2" t="s">
        <v>65</v>
      </c>
      <c r="K385" s="2" t="s">
        <v>54</v>
      </c>
      <c r="L385" s="2" t="s">
        <v>54</v>
      </c>
      <c r="M385" s="2" t="s">
        <v>94</v>
      </c>
      <c r="N385" s="2">
        <v>24.56</v>
      </c>
      <c r="O385" s="2">
        <v>3072</v>
      </c>
      <c r="P385" s="2">
        <v>5.5</v>
      </c>
      <c r="Q385" s="4">
        <v>105.03</v>
      </c>
      <c r="R385" s="5">
        <v>1099.42</v>
      </c>
      <c r="S385" s="5">
        <v>115472.08</v>
      </c>
      <c r="T385" s="6">
        <v>5.1499999999999997E-2</v>
      </c>
      <c r="U385" s="5">
        <v>109525.27</v>
      </c>
      <c r="V385" s="5">
        <v>3779.74</v>
      </c>
      <c r="W385" s="6">
        <v>0.21149999999999999</v>
      </c>
      <c r="X385" s="5">
        <v>23164.59</v>
      </c>
      <c r="Y385" s="2" t="s">
        <v>33</v>
      </c>
      <c r="Z385" s="2" t="s">
        <v>89</v>
      </c>
      <c r="AA385" s="2" t="s">
        <v>35</v>
      </c>
    </row>
    <row r="386" spans="1:27">
      <c r="A386" s="2" t="s">
        <v>511</v>
      </c>
      <c r="B386" s="3">
        <v>45349</v>
      </c>
      <c r="C386" s="2">
        <v>2024</v>
      </c>
      <c r="D386" s="2" t="s">
        <v>113</v>
      </c>
      <c r="E386" s="2" t="s">
        <v>60</v>
      </c>
      <c r="F386" s="2" t="s">
        <v>86</v>
      </c>
      <c r="G386" s="2" t="s">
        <v>87</v>
      </c>
      <c r="H386" s="2" t="s">
        <v>63</v>
      </c>
      <c r="I386" s="2" t="s">
        <v>74</v>
      </c>
      <c r="J386" s="2" t="s">
        <v>65</v>
      </c>
      <c r="K386" s="2" t="s">
        <v>66</v>
      </c>
      <c r="L386" s="2" t="s">
        <v>67</v>
      </c>
      <c r="M386" s="2" t="s">
        <v>140</v>
      </c>
      <c r="N386" s="2">
        <v>13.33</v>
      </c>
      <c r="O386" s="2">
        <v>338</v>
      </c>
      <c r="P386" s="2">
        <v>8.9</v>
      </c>
      <c r="Q386" s="4">
        <v>86.43</v>
      </c>
      <c r="R386" s="5">
        <v>1527.97</v>
      </c>
      <c r="S386" s="5">
        <v>132062.45000000001</v>
      </c>
      <c r="T386" s="6">
        <v>3.2899999999999999E-2</v>
      </c>
      <c r="U386" s="5">
        <v>127717.6</v>
      </c>
      <c r="V386" s="5">
        <v>3611.11</v>
      </c>
      <c r="W386" s="6">
        <v>0.17510000000000001</v>
      </c>
      <c r="X386" s="5">
        <v>22363.35</v>
      </c>
      <c r="Y386" s="2" t="s">
        <v>75</v>
      </c>
      <c r="Z386" s="2" t="s">
        <v>57</v>
      </c>
      <c r="AA386" s="2" t="s">
        <v>35</v>
      </c>
    </row>
    <row r="387" spans="1:27">
      <c r="A387" s="2" t="s">
        <v>512</v>
      </c>
      <c r="B387" s="3">
        <v>45558</v>
      </c>
      <c r="C387" s="2">
        <v>2024</v>
      </c>
      <c r="D387" s="2" t="s">
        <v>37</v>
      </c>
      <c r="E387" s="2" t="s">
        <v>28</v>
      </c>
      <c r="F387" s="2" t="s">
        <v>118</v>
      </c>
      <c r="G387" s="2" t="s">
        <v>121</v>
      </c>
      <c r="H387" s="2" t="s">
        <v>40</v>
      </c>
      <c r="I387" s="2" t="s">
        <v>32</v>
      </c>
      <c r="J387" s="2" t="s">
        <v>42</v>
      </c>
      <c r="K387" s="2" t="s">
        <v>100</v>
      </c>
      <c r="L387" s="2" t="s">
        <v>101</v>
      </c>
      <c r="M387" s="2" t="s">
        <v>102</v>
      </c>
      <c r="N387" s="2">
        <v>14.55</v>
      </c>
      <c r="O387" s="2">
        <v>206</v>
      </c>
      <c r="P387" s="2">
        <v>10.9</v>
      </c>
      <c r="Q387" s="4">
        <v>156.79</v>
      </c>
      <c r="R387" s="5">
        <v>1059.44</v>
      </c>
      <c r="S387" s="5">
        <v>166109.6</v>
      </c>
      <c r="T387" s="6">
        <v>2.1399999999999999E-2</v>
      </c>
      <c r="U387" s="5">
        <v>162554.85</v>
      </c>
      <c r="V387" s="5">
        <v>8298.2800000000007</v>
      </c>
      <c r="W387" s="6">
        <v>0.11020000000000001</v>
      </c>
      <c r="X387" s="5">
        <v>17913.54</v>
      </c>
      <c r="Y387" s="2" t="s">
        <v>75</v>
      </c>
      <c r="Z387" s="2" t="s">
        <v>57</v>
      </c>
      <c r="AA387" s="2" t="s">
        <v>35</v>
      </c>
    </row>
    <row r="388" spans="1:27">
      <c r="A388" s="2" t="s">
        <v>513</v>
      </c>
      <c r="B388" s="3">
        <v>45846</v>
      </c>
      <c r="C388" s="2">
        <v>2025</v>
      </c>
      <c r="D388" s="2" t="s">
        <v>104</v>
      </c>
      <c r="E388" s="2" t="s">
        <v>28</v>
      </c>
      <c r="F388" s="2" t="s">
        <v>61</v>
      </c>
      <c r="G388" s="2" t="s">
        <v>114</v>
      </c>
      <c r="H388" s="2" t="s">
        <v>73</v>
      </c>
      <c r="I388" s="2" t="s">
        <v>116</v>
      </c>
      <c r="J388" s="2" t="s">
        <v>65</v>
      </c>
      <c r="K388" s="2" t="s">
        <v>100</v>
      </c>
      <c r="L388" s="2" t="s">
        <v>101</v>
      </c>
      <c r="M388" s="2" t="s">
        <v>102</v>
      </c>
      <c r="N388" s="2">
        <v>4.75</v>
      </c>
      <c r="O388" s="2">
        <v>197</v>
      </c>
      <c r="P388" s="2">
        <v>3.6</v>
      </c>
      <c r="Q388" s="4">
        <v>133.25</v>
      </c>
      <c r="R388" s="5">
        <v>1122.1400000000001</v>
      </c>
      <c r="S388" s="5">
        <v>149525.15</v>
      </c>
      <c r="T388" s="6">
        <v>2.1299999999999999E-2</v>
      </c>
      <c r="U388" s="5">
        <v>146340.26</v>
      </c>
      <c r="V388" s="5">
        <v>4058.91</v>
      </c>
      <c r="W388" s="6">
        <v>0.23200000000000001</v>
      </c>
      <c r="X388" s="5">
        <v>33950.94</v>
      </c>
      <c r="Y388" s="2" t="s">
        <v>83</v>
      </c>
      <c r="Z388" s="2" t="s">
        <v>70</v>
      </c>
      <c r="AA388" s="2" t="s">
        <v>35</v>
      </c>
    </row>
    <row r="389" spans="1:27">
      <c r="A389" s="2" t="s">
        <v>514</v>
      </c>
      <c r="B389" s="3">
        <v>45381</v>
      </c>
      <c r="C389" s="2">
        <v>2024</v>
      </c>
      <c r="D389" s="2" t="s">
        <v>59</v>
      </c>
      <c r="E389" s="2" t="s">
        <v>60</v>
      </c>
      <c r="F389" s="2" t="s">
        <v>29</v>
      </c>
      <c r="G389" s="2" t="s">
        <v>78</v>
      </c>
      <c r="H389" s="2" t="s">
        <v>63</v>
      </c>
      <c r="I389" s="2" t="s">
        <v>74</v>
      </c>
      <c r="J389" s="2" t="s">
        <v>65</v>
      </c>
      <c r="K389" s="2" t="s">
        <v>100</v>
      </c>
      <c r="L389" s="2" t="s">
        <v>101</v>
      </c>
      <c r="M389" s="2" t="s">
        <v>145</v>
      </c>
      <c r="N389" s="2">
        <v>6.28</v>
      </c>
      <c r="O389" s="2">
        <v>355</v>
      </c>
      <c r="P389" s="2">
        <v>8.1999999999999993</v>
      </c>
      <c r="Q389" s="4">
        <v>56.94</v>
      </c>
      <c r="R389" s="5">
        <v>1268.71</v>
      </c>
      <c r="S389" s="5">
        <v>72240.350000000006</v>
      </c>
      <c r="T389" s="6">
        <v>3.8699999999999998E-2</v>
      </c>
      <c r="U389" s="5">
        <v>69444.649999999994</v>
      </c>
      <c r="V389" s="5">
        <v>1528.28</v>
      </c>
      <c r="W389" s="6">
        <v>0.1789</v>
      </c>
      <c r="X389" s="5">
        <v>12423.65</v>
      </c>
      <c r="Y389" s="2" t="s">
        <v>56</v>
      </c>
      <c r="Z389" s="2" t="s">
        <v>80</v>
      </c>
      <c r="AA389" s="2" t="s">
        <v>35</v>
      </c>
    </row>
    <row r="390" spans="1:27">
      <c r="A390" s="2" t="s">
        <v>515</v>
      </c>
      <c r="B390" s="3">
        <v>45430</v>
      </c>
      <c r="C390" s="2">
        <v>2024</v>
      </c>
      <c r="D390" s="2" t="s">
        <v>81</v>
      </c>
      <c r="E390" s="2" t="s">
        <v>49</v>
      </c>
      <c r="F390" s="2" t="s">
        <v>118</v>
      </c>
      <c r="G390" s="2" t="s">
        <v>155</v>
      </c>
      <c r="H390" s="2" t="s">
        <v>31</v>
      </c>
      <c r="I390" s="2" t="s">
        <v>64</v>
      </c>
      <c r="J390" s="2" t="s">
        <v>42</v>
      </c>
      <c r="K390" s="2" t="s">
        <v>100</v>
      </c>
      <c r="L390" s="2" t="s">
        <v>101</v>
      </c>
      <c r="M390" s="2" t="s">
        <v>129</v>
      </c>
      <c r="N390" s="2">
        <v>15.15</v>
      </c>
      <c r="O390" s="2">
        <v>573</v>
      </c>
      <c r="P390" s="2">
        <v>5.3</v>
      </c>
      <c r="Q390" s="4">
        <v>39.47</v>
      </c>
      <c r="R390" s="5">
        <v>1112.3599999999999</v>
      </c>
      <c r="S390" s="5">
        <v>43904.85</v>
      </c>
      <c r="T390" s="6">
        <v>5.5800000000000002E-2</v>
      </c>
      <c r="U390" s="5">
        <v>41454.959999999999</v>
      </c>
      <c r="V390" s="5">
        <v>3507.7</v>
      </c>
      <c r="W390" s="6">
        <v>0.20050000000000001</v>
      </c>
      <c r="X390" s="5">
        <v>8311.7199999999993</v>
      </c>
      <c r="Y390" s="2" t="s">
        <v>75</v>
      </c>
      <c r="Z390" s="2" t="s">
        <v>57</v>
      </c>
      <c r="AA390" s="2" t="s">
        <v>35</v>
      </c>
    </row>
    <row r="391" spans="1:27">
      <c r="A391" s="2" t="s">
        <v>516</v>
      </c>
      <c r="B391" s="3">
        <v>45971</v>
      </c>
      <c r="C391" s="2">
        <v>2025</v>
      </c>
      <c r="D391" s="2" t="s">
        <v>76</v>
      </c>
      <c r="E391" s="2" t="s">
        <v>77</v>
      </c>
      <c r="F391" s="2" t="s">
        <v>29</v>
      </c>
      <c r="G391" s="2" t="s">
        <v>95</v>
      </c>
      <c r="H391" s="2" t="s">
        <v>63</v>
      </c>
      <c r="I391" s="2" t="s">
        <v>93</v>
      </c>
      <c r="J391" s="2" t="s">
        <v>79</v>
      </c>
      <c r="K391" s="2" t="s">
        <v>43</v>
      </c>
      <c r="L391" s="2" t="s">
        <v>44</v>
      </c>
      <c r="M391" s="2" t="s">
        <v>171</v>
      </c>
      <c r="N391" s="2">
        <v>18.100000000000001</v>
      </c>
      <c r="O391" s="2">
        <v>11</v>
      </c>
      <c r="P391" s="2">
        <v>6.9</v>
      </c>
      <c r="Q391" s="4">
        <v>563.59</v>
      </c>
      <c r="R391" s="5">
        <v>771.3</v>
      </c>
      <c r="S391" s="5">
        <v>434696.97</v>
      </c>
      <c r="T391" s="6">
        <v>3.15E-2</v>
      </c>
      <c r="U391" s="5">
        <v>421004.02</v>
      </c>
      <c r="V391" s="5">
        <v>11885.03</v>
      </c>
      <c r="W391" s="6">
        <v>0.1462</v>
      </c>
      <c r="X391" s="5">
        <v>61550.79</v>
      </c>
      <c r="Y391" s="2" t="s">
        <v>75</v>
      </c>
      <c r="Z391" s="2" t="s">
        <v>106</v>
      </c>
      <c r="AA391" s="2" t="s">
        <v>35</v>
      </c>
    </row>
    <row r="392" spans="1:27">
      <c r="A392" s="2" t="s">
        <v>517</v>
      </c>
      <c r="B392" s="3">
        <v>45642</v>
      </c>
      <c r="C392" s="2">
        <v>2024</v>
      </c>
      <c r="D392" s="2" t="s">
        <v>97</v>
      </c>
      <c r="E392" s="2" t="s">
        <v>77</v>
      </c>
      <c r="F392" s="2" t="s">
        <v>61</v>
      </c>
      <c r="G392" s="2" t="s">
        <v>114</v>
      </c>
      <c r="H392" s="2" t="s">
        <v>73</v>
      </c>
      <c r="I392" s="2" t="s">
        <v>32</v>
      </c>
      <c r="J392" s="2" t="s">
        <v>42</v>
      </c>
      <c r="K392" s="2" t="s">
        <v>100</v>
      </c>
      <c r="L392" s="2" t="s">
        <v>101</v>
      </c>
      <c r="M392" s="2" t="s">
        <v>108</v>
      </c>
      <c r="N392" s="2">
        <v>2.3199999999999998</v>
      </c>
      <c r="O392" s="2">
        <v>481</v>
      </c>
      <c r="P392" s="2">
        <v>11.6</v>
      </c>
      <c r="Q392" s="4">
        <v>154.15</v>
      </c>
      <c r="R392" s="5">
        <v>1230.04</v>
      </c>
      <c r="S392" s="5">
        <v>189610.67</v>
      </c>
      <c r="T392" s="6">
        <v>3.5700000000000003E-2</v>
      </c>
      <c r="U392" s="5">
        <v>182841.57</v>
      </c>
      <c r="V392" s="5">
        <v>5282.72</v>
      </c>
      <c r="W392" s="6">
        <v>0.13059999999999999</v>
      </c>
      <c r="X392" s="5">
        <v>23879.11</v>
      </c>
      <c r="Y392" s="2" t="s">
        <v>33</v>
      </c>
      <c r="Z392" s="2" t="s">
        <v>125</v>
      </c>
      <c r="AA392" s="2" t="s">
        <v>35</v>
      </c>
    </row>
    <row r="393" spans="1:27">
      <c r="A393" s="2" t="s">
        <v>518</v>
      </c>
      <c r="B393" s="3">
        <v>45661</v>
      </c>
      <c r="C393" s="2">
        <v>2025</v>
      </c>
      <c r="D393" s="2" t="s">
        <v>71</v>
      </c>
      <c r="E393" s="2" t="s">
        <v>60</v>
      </c>
      <c r="F393" s="2" t="s">
        <v>118</v>
      </c>
      <c r="G393" s="2" t="s">
        <v>155</v>
      </c>
      <c r="H393" s="2" t="s">
        <v>63</v>
      </c>
      <c r="I393" s="2" t="s">
        <v>52</v>
      </c>
      <c r="J393" s="2" t="s">
        <v>127</v>
      </c>
      <c r="K393" s="2" t="s">
        <v>54</v>
      </c>
      <c r="L393" s="2" t="s">
        <v>54</v>
      </c>
      <c r="M393" s="2" t="s">
        <v>162</v>
      </c>
      <c r="N393" s="2">
        <v>35.369999999999997</v>
      </c>
      <c r="O393" s="2">
        <v>2697</v>
      </c>
      <c r="P393" s="2">
        <v>6.4</v>
      </c>
      <c r="Q393" s="4">
        <v>7.47</v>
      </c>
      <c r="R393" s="5">
        <v>1057.98</v>
      </c>
      <c r="S393" s="5">
        <v>7903.11</v>
      </c>
      <c r="T393" s="6">
        <v>1.47E-2</v>
      </c>
      <c r="U393" s="5">
        <v>7786.93</v>
      </c>
      <c r="V393" s="5">
        <v>154.66</v>
      </c>
      <c r="W393" s="6">
        <v>0.1203</v>
      </c>
      <c r="X393" s="5">
        <v>936.77</v>
      </c>
      <c r="Y393" s="2" t="s">
        <v>83</v>
      </c>
      <c r="Z393" s="2" t="s">
        <v>34</v>
      </c>
      <c r="AA393" s="2" t="s">
        <v>35</v>
      </c>
    </row>
    <row r="394" spans="1:27">
      <c r="A394" s="2" t="s">
        <v>519</v>
      </c>
      <c r="B394" s="3">
        <v>45340</v>
      </c>
      <c r="C394" s="2">
        <v>2024</v>
      </c>
      <c r="D394" s="2" t="s">
        <v>113</v>
      </c>
      <c r="E394" s="2" t="s">
        <v>60</v>
      </c>
      <c r="F394" s="2" t="s">
        <v>50</v>
      </c>
      <c r="G394" s="2" t="s">
        <v>105</v>
      </c>
      <c r="H394" s="2" t="s">
        <v>40</v>
      </c>
      <c r="I394" s="2" t="s">
        <v>74</v>
      </c>
      <c r="J394" s="2" t="s">
        <v>65</v>
      </c>
      <c r="K394" s="2" t="s">
        <v>54</v>
      </c>
      <c r="L394" s="2" t="s">
        <v>54</v>
      </c>
      <c r="M394" s="2" t="s">
        <v>162</v>
      </c>
      <c r="N394" s="2">
        <v>70.53</v>
      </c>
      <c r="O394" s="2">
        <v>1992</v>
      </c>
      <c r="P394" s="2">
        <v>11.9</v>
      </c>
      <c r="Q394" s="4">
        <v>233.11</v>
      </c>
      <c r="R394" s="5">
        <v>1225.02</v>
      </c>
      <c r="S394" s="5">
        <v>285564.40999999997</v>
      </c>
      <c r="T394" s="6">
        <v>2.9000000000000001E-2</v>
      </c>
      <c r="U394" s="5">
        <v>277283.03999999998</v>
      </c>
      <c r="V394" s="5">
        <v>21053.09</v>
      </c>
      <c r="W394" s="6">
        <v>0.20710000000000001</v>
      </c>
      <c r="X394" s="5">
        <v>57425.32</v>
      </c>
      <c r="Y394" s="2" t="s">
        <v>33</v>
      </c>
      <c r="Z394" s="2" t="s">
        <v>80</v>
      </c>
      <c r="AA394" s="2" t="s">
        <v>35</v>
      </c>
    </row>
    <row r="395" spans="1:27">
      <c r="A395" s="2" t="s">
        <v>520</v>
      </c>
      <c r="B395" s="3">
        <v>45773</v>
      </c>
      <c r="C395" s="2">
        <v>2025</v>
      </c>
      <c r="D395" s="2" t="s">
        <v>48</v>
      </c>
      <c r="E395" s="2" t="s">
        <v>49</v>
      </c>
      <c r="F395" s="2" t="s">
        <v>29</v>
      </c>
      <c r="G395" s="2" t="s">
        <v>95</v>
      </c>
      <c r="H395" s="2" t="s">
        <v>31</v>
      </c>
      <c r="I395" s="2" t="s">
        <v>41</v>
      </c>
      <c r="J395" s="2" t="s">
        <v>65</v>
      </c>
      <c r="K395" s="2" t="s">
        <v>100</v>
      </c>
      <c r="L395" s="2" t="s">
        <v>101</v>
      </c>
      <c r="M395" s="2" t="s">
        <v>145</v>
      </c>
      <c r="N395" s="2">
        <v>8.68</v>
      </c>
      <c r="O395" s="2">
        <v>598</v>
      </c>
      <c r="P395" s="2">
        <v>10.1</v>
      </c>
      <c r="Q395" s="4">
        <v>195.54</v>
      </c>
      <c r="R395" s="5">
        <v>1286.53</v>
      </c>
      <c r="S395" s="5">
        <v>251568.08</v>
      </c>
      <c r="T395" s="6">
        <v>4.7899999999999998E-2</v>
      </c>
      <c r="U395" s="5">
        <v>239517.97</v>
      </c>
      <c r="V395" s="5">
        <v>10805.55</v>
      </c>
      <c r="W395" s="6">
        <v>0.25309999999999999</v>
      </c>
      <c r="X395" s="5">
        <v>60622</v>
      </c>
      <c r="Y395" s="2" t="s">
        <v>83</v>
      </c>
      <c r="Z395" s="2" t="s">
        <v>80</v>
      </c>
      <c r="AA395" s="2" t="s">
        <v>35</v>
      </c>
    </row>
    <row r="396" spans="1:27">
      <c r="A396" s="2" t="s">
        <v>521</v>
      </c>
      <c r="B396" s="3">
        <v>45929</v>
      </c>
      <c r="C396" s="2">
        <v>2025</v>
      </c>
      <c r="D396" s="2" t="s">
        <v>37</v>
      </c>
      <c r="E396" s="2" t="s">
        <v>28</v>
      </c>
      <c r="F396" s="2" t="s">
        <v>61</v>
      </c>
      <c r="G396" s="2" t="s">
        <v>62</v>
      </c>
      <c r="H396" s="2" t="s">
        <v>31</v>
      </c>
      <c r="I396" s="2" t="s">
        <v>32</v>
      </c>
      <c r="J396" s="2" t="s">
        <v>42</v>
      </c>
      <c r="K396" s="2" t="s">
        <v>43</v>
      </c>
      <c r="L396" s="2" t="s">
        <v>44</v>
      </c>
      <c r="M396" s="2" t="s">
        <v>124</v>
      </c>
      <c r="N396" s="2">
        <v>36.840000000000003</v>
      </c>
      <c r="O396" s="2">
        <v>37</v>
      </c>
      <c r="P396" s="2">
        <v>8.3000000000000007</v>
      </c>
      <c r="Q396" s="4">
        <v>321.79000000000002</v>
      </c>
      <c r="R396" s="5">
        <v>795.86</v>
      </c>
      <c r="S396" s="5">
        <v>256099.79</v>
      </c>
      <c r="T396" s="6">
        <v>3.4500000000000003E-2</v>
      </c>
      <c r="U396" s="5">
        <v>247264.35</v>
      </c>
      <c r="V396" s="5">
        <v>27598.9</v>
      </c>
      <c r="W396" s="6">
        <v>0.152</v>
      </c>
      <c r="X396" s="5">
        <v>37584.18</v>
      </c>
      <c r="Y396" s="2" t="s">
        <v>69</v>
      </c>
      <c r="Z396" s="2" t="s">
        <v>70</v>
      </c>
      <c r="AA396" s="2" t="s">
        <v>35</v>
      </c>
    </row>
    <row r="397" spans="1:27">
      <c r="A397" s="2" t="s">
        <v>522</v>
      </c>
      <c r="B397" s="3">
        <v>45957</v>
      </c>
      <c r="C397" s="2">
        <v>2025</v>
      </c>
      <c r="D397" s="2" t="s">
        <v>110</v>
      </c>
      <c r="E397" s="2" t="s">
        <v>77</v>
      </c>
      <c r="F397" s="2" t="s">
        <v>118</v>
      </c>
      <c r="G397" s="2" t="s">
        <v>155</v>
      </c>
      <c r="H397" s="2" t="s">
        <v>63</v>
      </c>
      <c r="I397" s="2" t="s">
        <v>88</v>
      </c>
      <c r="J397" s="2" t="s">
        <v>65</v>
      </c>
      <c r="K397" s="2" t="s">
        <v>66</v>
      </c>
      <c r="L397" s="2" t="s">
        <v>67</v>
      </c>
      <c r="M397" s="2" t="s">
        <v>122</v>
      </c>
      <c r="N397" s="2">
        <v>14.24</v>
      </c>
      <c r="O397" s="2">
        <v>186</v>
      </c>
      <c r="P397" s="2">
        <v>9.9</v>
      </c>
      <c r="Q397" s="4">
        <v>202.27</v>
      </c>
      <c r="R397" s="5">
        <v>1424.63</v>
      </c>
      <c r="S397" s="5">
        <v>288159.90999999997</v>
      </c>
      <c r="T397" s="6">
        <v>4.0599999999999997E-2</v>
      </c>
      <c r="U397" s="5">
        <v>276460.62</v>
      </c>
      <c r="V397" s="5">
        <v>4789.0600000000004</v>
      </c>
      <c r="W397" s="6">
        <v>0.23269999999999999</v>
      </c>
      <c r="X397" s="5">
        <v>64332.39</v>
      </c>
      <c r="Y397" s="2" t="s">
        <v>75</v>
      </c>
      <c r="Z397" s="2" t="s">
        <v>57</v>
      </c>
      <c r="AA397" s="2" t="s">
        <v>35</v>
      </c>
    </row>
    <row r="398" spans="1:27">
      <c r="A398" s="2" t="s">
        <v>523</v>
      </c>
      <c r="B398" s="3">
        <v>45904</v>
      </c>
      <c r="C398" s="2">
        <v>2025</v>
      </c>
      <c r="D398" s="2" t="s">
        <v>37</v>
      </c>
      <c r="E398" s="2" t="s">
        <v>28</v>
      </c>
      <c r="F398" s="2" t="s">
        <v>29</v>
      </c>
      <c r="G398" s="2" t="s">
        <v>95</v>
      </c>
      <c r="H398" s="2" t="s">
        <v>73</v>
      </c>
      <c r="I398" s="2" t="s">
        <v>88</v>
      </c>
      <c r="J398" s="2" t="s">
        <v>65</v>
      </c>
      <c r="K398" s="2" t="s">
        <v>66</v>
      </c>
      <c r="L398" s="2" t="s">
        <v>67</v>
      </c>
      <c r="M398" s="2" t="s">
        <v>68</v>
      </c>
      <c r="N398" s="2">
        <v>9.9499999999999993</v>
      </c>
      <c r="O398" s="2">
        <v>81</v>
      </c>
      <c r="P398" s="2">
        <v>10.1</v>
      </c>
      <c r="Q398" s="4">
        <v>125.59</v>
      </c>
      <c r="R398" s="5">
        <v>1550.85</v>
      </c>
      <c r="S398" s="5">
        <v>194771.25</v>
      </c>
      <c r="T398" s="6">
        <v>3.1099999999999999E-2</v>
      </c>
      <c r="U398" s="5">
        <v>188713.86</v>
      </c>
      <c r="V398" s="5">
        <v>2355.0300000000002</v>
      </c>
      <c r="W398" s="6">
        <v>0.28660000000000002</v>
      </c>
      <c r="X398" s="5">
        <v>54085.39</v>
      </c>
      <c r="Y398" s="2" t="s">
        <v>75</v>
      </c>
      <c r="Z398" s="2" t="s">
        <v>89</v>
      </c>
      <c r="AA398" s="2" t="s">
        <v>35</v>
      </c>
    </row>
    <row r="399" spans="1:27">
      <c r="A399" s="2" t="s">
        <v>524</v>
      </c>
      <c r="B399" s="3">
        <v>45312</v>
      </c>
      <c r="C399" s="2">
        <v>2024</v>
      </c>
      <c r="D399" s="2" t="s">
        <v>71</v>
      </c>
      <c r="E399" s="2" t="s">
        <v>60</v>
      </c>
      <c r="F399" s="2" t="s">
        <v>118</v>
      </c>
      <c r="G399" s="2" t="s">
        <v>121</v>
      </c>
      <c r="H399" s="2" t="s">
        <v>31</v>
      </c>
      <c r="I399" s="2" t="s">
        <v>74</v>
      </c>
      <c r="J399" s="2" t="s">
        <v>79</v>
      </c>
      <c r="K399" s="2" t="s">
        <v>100</v>
      </c>
      <c r="L399" s="2" t="s">
        <v>101</v>
      </c>
      <c r="M399" s="2" t="s">
        <v>129</v>
      </c>
      <c r="N399" s="2">
        <v>5.84</v>
      </c>
      <c r="O399" s="2">
        <v>118</v>
      </c>
      <c r="P399" s="2">
        <v>6.7</v>
      </c>
      <c r="Q399" s="4">
        <v>35.75</v>
      </c>
      <c r="R399" s="5">
        <v>1089.68</v>
      </c>
      <c r="S399" s="5">
        <v>38956.06</v>
      </c>
      <c r="T399" s="6">
        <v>2.8000000000000001E-2</v>
      </c>
      <c r="U399" s="5">
        <v>37865.29</v>
      </c>
      <c r="V399" s="5">
        <v>2862.48</v>
      </c>
      <c r="W399" s="6">
        <v>0.24049999999999999</v>
      </c>
      <c r="X399" s="5">
        <v>9106.6</v>
      </c>
      <c r="Y399" s="2" t="s">
        <v>33</v>
      </c>
      <c r="Z399" s="2" t="s">
        <v>57</v>
      </c>
      <c r="AA399" s="2" t="s">
        <v>35</v>
      </c>
    </row>
    <row r="400" spans="1:27">
      <c r="A400" s="2" t="s">
        <v>525</v>
      </c>
      <c r="B400" s="3">
        <v>45579</v>
      </c>
      <c r="C400" s="2">
        <v>2024</v>
      </c>
      <c r="D400" s="2" t="s">
        <v>110</v>
      </c>
      <c r="E400" s="2" t="s">
        <v>77</v>
      </c>
      <c r="F400" s="2" t="s">
        <v>61</v>
      </c>
      <c r="G400" s="2" t="s">
        <v>62</v>
      </c>
      <c r="H400" s="2" t="s">
        <v>73</v>
      </c>
      <c r="I400" s="2" t="s">
        <v>93</v>
      </c>
      <c r="J400" s="2" t="s">
        <v>42</v>
      </c>
      <c r="K400" s="2" t="s">
        <v>43</v>
      </c>
      <c r="L400" s="2" t="s">
        <v>44</v>
      </c>
      <c r="M400" s="2" t="s">
        <v>45</v>
      </c>
      <c r="N400" s="2">
        <v>9.4700000000000006</v>
      </c>
      <c r="O400" s="2">
        <v>30</v>
      </c>
      <c r="P400" s="2">
        <v>11.5</v>
      </c>
      <c r="Q400" s="4">
        <v>432.29</v>
      </c>
      <c r="R400" s="5">
        <v>848.46</v>
      </c>
      <c r="S400" s="5">
        <v>366780.77</v>
      </c>
      <c r="T400" s="6">
        <v>5.5599999999999997E-2</v>
      </c>
      <c r="U400" s="5">
        <v>346387.76</v>
      </c>
      <c r="V400" s="5">
        <v>15223.66</v>
      </c>
      <c r="W400" s="6">
        <v>0.2611</v>
      </c>
      <c r="X400" s="5">
        <v>90441.84</v>
      </c>
      <c r="Y400" s="2" t="s">
        <v>56</v>
      </c>
      <c r="Z400" s="2" t="s">
        <v>57</v>
      </c>
      <c r="AA400" s="2" t="s">
        <v>35</v>
      </c>
    </row>
    <row r="401" spans="1:27">
      <c r="A401" s="2" t="s">
        <v>526</v>
      </c>
      <c r="B401" s="3">
        <v>45496</v>
      </c>
      <c r="C401" s="2">
        <v>2024</v>
      </c>
      <c r="D401" s="2" t="s">
        <v>104</v>
      </c>
      <c r="E401" s="2" t="s">
        <v>28</v>
      </c>
      <c r="F401" s="2" t="s">
        <v>98</v>
      </c>
      <c r="G401" s="2" t="s">
        <v>99</v>
      </c>
      <c r="H401" s="2" t="s">
        <v>31</v>
      </c>
      <c r="I401" s="2" t="s">
        <v>32</v>
      </c>
      <c r="J401" s="2" t="s">
        <v>65</v>
      </c>
      <c r="K401" s="2" t="s">
        <v>66</v>
      </c>
      <c r="L401" s="2" t="s">
        <v>67</v>
      </c>
      <c r="M401" s="2" t="s">
        <v>152</v>
      </c>
      <c r="N401" s="2">
        <v>16.690000000000001</v>
      </c>
      <c r="O401" s="2">
        <v>172</v>
      </c>
      <c r="P401" s="2">
        <v>8.6999999999999993</v>
      </c>
      <c r="Q401" s="4">
        <v>114.5</v>
      </c>
      <c r="R401" s="5">
        <v>1346.25</v>
      </c>
      <c r="S401" s="5">
        <v>154145.63</v>
      </c>
      <c r="T401" s="6">
        <v>3.7400000000000003E-2</v>
      </c>
      <c r="U401" s="5">
        <v>148380.57999999999</v>
      </c>
      <c r="V401" s="5">
        <v>6166.36</v>
      </c>
      <c r="W401" s="6">
        <v>0.1694</v>
      </c>
      <c r="X401" s="5">
        <v>25135.67</v>
      </c>
      <c r="Y401" s="2" t="s">
        <v>69</v>
      </c>
      <c r="Z401" s="2" t="s">
        <v>125</v>
      </c>
      <c r="AA401" s="2" t="s">
        <v>35</v>
      </c>
    </row>
    <row r="402" spans="1:27">
      <c r="A402" s="2" t="s">
        <v>527</v>
      </c>
      <c r="B402" s="3">
        <v>45687</v>
      </c>
      <c r="C402" s="2">
        <v>2025</v>
      </c>
      <c r="D402" s="2" t="s">
        <v>71</v>
      </c>
      <c r="E402" s="2" t="s">
        <v>60</v>
      </c>
      <c r="F402" s="2" t="s">
        <v>98</v>
      </c>
      <c r="G402" s="2" t="s">
        <v>137</v>
      </c>
      <c r="H402" s="2" t="s">
        <v>40</v>
      </c>
      <c r="I402" s="2" t="s">
        <v>41</v>
      </c>
      <c r="J402" s="2" t="s">
        <v>42</v>
      </c>
      <c r="K402" s="2" t="s">
        <v>100</v>
      </c>
      <c r="L402" s="2" t="s">
        <v>101</v>
      </c>
      <c r="M402" s="2" t="s">
        <v>129</v>
      </c>
      <c r="N402" s="2">
        <v>3.14</v>
      </c>
      <c r="O402" s="2">
        <v>115</v>
      </c>
      <c r="P402" s="2">
        <v>4.8</v>
      </c>
      <c r="Q402" s="4">
        <v>166.75</v>
      </c>
      <c r="R402" s="5">
        <v>1006.12</v>
      </c>
      <c r="S402" s="5">
        <v>167770.51</v>
      </c>
      <c r="T402" s="6">
        <v>4.8399999999999999E-2</v>
      </c>
      <c r="U402" s="5">
        <v>159650.42000000001</v>
      </c>
      <c r="V402" s="5">
        <v>12119.58</v>
      </c>
      <c r="W402" s="6">
        <v>0.1903</v>
      </c>
      <c r="X402" s="5">
        <v>30381.47</v>
      </c>
      <c r="Y402" s="2" t="s">
        <v>33</v>
      </c>
      <c r="Z402" s="2" t="s">
        <v>46</v>
      </c>
      <c r="AA402" s="2" t="s">
        <v>35</v>
      </c>
    </row>
    <row r="403" spans="1:27">
      <c r="A403" s="2" t="s">
        <v>528</v>
      </c>
      <c r="B403" s="3">
        <v>45985</v>
      </c>
      <c r="C403" s="2">
        <v>2025</v>
      </c>
      <c r="D403" s="2" t="s">
        <v>76</v>
      </c>
      <c r="E403" s="2" t="s">
        <v>77</v>
      </c>
      <c r="F403" s="2" t="s">
        <v>118</v>
      </c>
      <c r="G403" s="2" t="s">
        <v>121</v>
      </c>
      <c r="H403" s="2" t="s">
        <v>31</v>
      </c>
      <c r="I403" s="2" t="s">
        <v>32</v>
      </c>
      <c r="J403" s="2" t="s">
        <v>42</v>
      </c>
      <c r="K403" s="2" t="s">
        <v>100</v>
      </c>
      <c r="L403" s="2" t="s">
        <v>101</v>
      </c>
      <c r="M403" s="2" t="s">
        <v>145</v>
      </c>
      <c r="N403" s="2">
        <v>12.41</v>
      </c>
      <c r="O403" s="2">
        <v>272</v>
      </c>
      <c r="P403" s="2">
        <v>11.3</v>
      </c>
      <c r="Q403" s="4">
        <v>9.5399999999999991</v>
      </c>
      <c r="R403" s="5">
        <v>1209.8</v>
      </c>
      <c r="S403" s="5">
        <v>11541.49</v>
      </c>
      <c r="T403" s="6">
        <v>6.0499999999999998E-2</v>
      </c>
      <c r="U403" s="5">
        <v>10843.23</v>
      </c>
      <c r="V403" s="5">
        <v>872.48</v>
      </c>
      <c r="W403" s="6">
        <v>0.188</v>
      </c>
      <c r="X403" s="5">
        <v>2038.53</v>
      </c>
      <c r="Y403" s="2" t="s">
        <v>83</v>
      </c>
      <c r="Z403" s="2" t="s">
        <v>80</v>
      </c>
      <c r="AA403" s="2" t="s">
        <v>35</v>
      </c>
    </row>
    <row r="404" spans="1:27">
      <c r="A404" s="2" t="s">
        <v>529</v>
      </c>
      <c r="B404" s="3">
        <v>45828</v>
      </c>
      <c r="C404" s="2">
        <v>2025</v>
      </c>
      <c r="D404" s="2" t="s">
        <v>91</v>
      </c>
      <c r="E404" s="2" t="s">
        <v>49</v>
      </c>
      <c r="F404" s="2" t="s">
        <v>50</v>
      </c>
      <c r="G404" s="2" t="s">
        <v>115</v>
      </c>
      <c r="H404" s="2" t="s">
        <v>31</v>
      </c>
      <c r="I404" s="2" t="s">
        <v>93</v>
      </c>
      <c r="J404" s="2" t="s">
        <v>79</v>
      </c>
      <c r="K404" s="2" t="s">
        <v>43</v>
      </c>
      <c r="L404" s="2" t="s">
        <v>44</v>
      </c>
      <c r="M404" s="2" t="s">
        <v>171</v>
      </c>
      <c r="N404" s="2">
        <v>18.87</v>
      </c>
      <c r="O404" s="2">
        <v>18</v>
      </c>
      <c r="P404" s="2">
        <v>8.9</v>
      </c>
      <c r="Q404" s="4">
        <v>257.91000000000003</v>
      </c>
      <c r="R404" s="5">
        <v>812.31</v>
      </c>
      <c r="S404" s="5">
        <v>209502.87</v>
      </c>
      <c r="T404" s="6">
        <v>3.9399999999999998E-2</v>
      </c>
      <c r="U404" s="5">
        <v>201248.46</v>
      </c>
      <c r="V404" s="5">
        <v>19906.64</v>
      </c>
      <c r="W404" s="6">
        <v>0.2404</v>
      </c>
      <c r="X404" s="5">
        <v>48380.13</v>
      </c>
      <c r="Y404" s="2" t="s">
        <v>75</v>
      </c>
      <c r="Z404" s="2" t="s">
        <v>46</v>
      </c>
      <c r="AA404" s="2" t="s">
        <v>35</v>
      </c>
    </row>
    <row r="405" spans="1:27">
      <c r="A405" s="2" t="s">
        <v>530</v>
      </c>
      <c r="B405" s="3">
        <v>45620</v>
      </c>
      <c r="C405" s="2">
        <v>2024</v>
      </c>
      <c r="D405" s="2" t="s">
        <v>76</v>
      </c>
      <c r="E405" s="2" t="s">
        <v>77</v>
      </c>
      <c r="F405" s="2" t="s">
        <v>98</v>
      </c>
      <c r="G405" s="2" t="s">
        <v>137</v>
      </c>
      <c r="H405" s="2" t="s">
        <v>73</v>
      </c>
      <c r="I405" s="2" t="s">
        <v>116</v>
      </c>
      <c r="J405" s="2" t="s">
        <v>42</v>
      </c>
      <c r="K405" s="2" t="s">
        <v>100</v>
      </c>
      <c r="L405" s="2" t="s">
        <v>101</v>
      </c>
      <c r="M405" s="2" t="s">
        <v>102</v>
      </c>
      <c r="N405" s="2">
        <v>4.4000000000000004</v>
      </c>
      <c r="O405" s="2">
        <v>309</v>
      </c>
      <c r="P405" s="2">
        <v>5.4</v>
      </c>
      <c r="Q405" s="4">
        <v>93.03</v>
      </c>
      <c r="R405" s="5">
        <v>1257.22</v>
      </c>
      <c r="S405" s="5">
        <v>116959.18</v>
      </c>
      <c r="T405" s="6">
        <v>4.53E-2</v>
      </c>
      <c r="U405" s="5">
        <v>111660.93</v>
      </c>
      <c r="V405" s="5">
        <v>3815.26</v>
      </c>
      <c r="W405" s="6">
        <v>0.15210000000000001</v>
      </c>
      <c r="X405" s="5">
        <v>16983.63</v>
      </c>
      <c r="Y405" s="2" t="s">
        <v>33</v>
      </c>
      <c r="Z405" s="2" t="s">
        <v>70</v>
      </c>
      <c r="AA405" s="2" t="s">
        <v>35</v>
      </c>
    </row>
    <row r="406" spans="1:27">
      <c r="A406" s="2" t="s">
        <v>531</v>
      </c>
      <c r="B406" s="3">
        <v>45511</v>
      </c>
      <c r="C406" s="2">
        <v>2024</v>
      </c>
      <c r="D406" s="2" t="s">
        <v>27</v>
      </c>
      <c r="E406" s="2" t="s">
        <v>28</v>
      </c>
      <c r="F406" s="2" t="s">
        <v>38</v>
      </c>
      <c r="G406" s="2" t="s">
        <v>39</v>
      </c>
      <c r="H406" s="2" t="s">
        <v>63</v>
      </c>
      <c r="I406" s="2" t="s">
        <v>93</v>
      </c>
      <c r="J406" s="2" t="s">
        <v>79</v>
      </c>
      <c r="K406" s="2" t="s">
        <v>43</v>
      </c>
      <c r="L406" s="2" t="s">
        <v>44</v>
      </c>
      <c r="M406" s="2" t="s">
        <v>124</v>
      </c>
      <c r="N406" s="2">
        <v>35.76</v>
      </c>
      <c r="O406" s="2">
        <v>23</v>
      </c>
      <c r="P406" s="2">
        <v>7.4</v>
      </c>
      <c r="Q406" s="4">
        <v>74.64</v>
      </c>
      <c r="R406" s="5">
        <v>681.76</v>
      </c>
      <c r="S406" s="5">
        <v>50886.57</v>
      </c>
      <c r="T406" s="6">
        <v>1.3299999999999999E-2</v>
      </c>
      <c r="U406" s="5">
        <v>50209.78</v>
      </c>
      <c r="V406" s="5">
        <v>2736.14</v>
      </c>
      <c r="W406" s="6">
        <v>0.19450000000000001</v>
      </c>
      <c r="X406" s="5">
        <v>9765.7999999999993</v>
      </c>
      <c r="Y406" s="2" t="s">
        <v>69</v>
      </c>
      <c r="Z406" s="2" t="s">
        <v>106</v>
      </c>
      <c r="AA406" s="2" t="s">
        <v>35</v>
      </c>
    </row>
    <row r="407" spans="1:27">
      <c r="A407" s="2" t="s">
        <v>532</v>
      </c>
      <c r="B407" s="3">
        <v>45737</v>
      </c>
      <c r="C407" s="2">
        <v>2025</v>
      </c>
      <c r="D407" s="2" t="s">
        <v>59</v>
      </c>
      <c r="E407" s="2" t="s">
        <v>60</v>
      </c>
      <c r="F407" s="2" t="s">
        <v>118</v>
      </c>
      <c r="G407" s="2" t="s">
        <v>119</v>
      </c>
      <c r="H407" s="2" t="s">
        <v>31</v>
      </c>
      <c r="I407" s="2" t="s">
        <v>93</v>
      </c>
      <c r="J407" s="2" t="s">
        <v>53</v>
      </c>
      <c r="K407" s="2" t="s">
        <v>54</v>
      </c>
      <c r="L407" s="2" t="s">
        <v>54</v>
      </c>
      <c r="M407" s="2" t="s">
        <v>94</v>
      </c>
      <c r="N407" s="2">
        <v>8.6199999999999992</v>
      </c>
      <c r="O407" s="2">
        <v>1921</v>
      </c>
      <c r="P407" s="2">
        <v>4.3</v>
      </c>
      <c r="Q407" s="4">
        <v>167.69</v>
      </c>
      <c r="R407" s="5">
        <v>1047.42</v>
      </c>
      <c r="S407" s="5">
        <v>175641.86</v>
      </c>
      <c r="T407" s="6">
        <v>2.4400000000000002E-2</v>
      </c>
      <c r="U407" s="5">
        <v>171356.2</v>
      </c>
      <c r="V407" s="5">
        <v>11217.55</v>
      </c>
      <c r="W407" s="6">
        <v>0.11650000000000001</v>
      </c>
      <c r="X407" s="5">
        <v>19963</v>
      </c>
      <c r="Y407" s="2" t="s">
        <v>56</v>
      </c>
      <c r="Z407" s="2" t="s">
        <v>89</v>
      </c>
      <c r="AA407" s="2" t="s">
        <v>35</v>
      </c>
    </row>
    <row r="408" spans="1:27">
      <c r="A408" s="2" t="s">
        <v>533</v>
      </c>
      <c r="B408" s="3">
        <v>45894</v>
      </c>
      <c r="C408" s="2">
        <v>2025</v>
      </c>
      <c r="D408" s="2" t="s">
        <v>27</v>
      </c>
      <c r="E408" s="2" t="s">
        <v>28</v>
      </c>
      <c r="F408" s="2" t="s">
        <v>50</v>
      </c>
      <c r="G408" s="2" t="s">
        <v>115</v>
      </c>
      <c r="H408" s="2" t="s">
        <v>73</v>
      </c>
      <c r="I408" s="2" t="s">
        <v>93</v>
      </c>
      <c r="J408" s="2" t="s">
        <v>65</v>
      </c>
      <c r="K408" s="2" t="s">
        <v>66</v>
      </c>
      <c r="L408" s="2" t="s">
        <v>67</v>
      </c>
      <c r="M408" s="2" t="s">
        <v>152</v>
      </c>
      <c r="N408" s="2">
        <v>13.13</v>
      </c>
      <c r="O408" s="2">
        <v>147</v>
      </c>
      <c r="P408" s="2">
        <v>6.7</v>
      </c>
      <c r="Q408" s="4">
        <v>121.15</v>
      </c>
      <c r="R408" s="5">
        <v>1506</v>
      </c>
      <c r="S408" s="5">
        <v>182451.9</v>
      </c>
      <c r="T408" s="6">
        <v>4.1200000000000001E-2</v>
      </c>
      <c r="U408" s="5">
        <v>174934.88</v>
      </c>
      <c r="V408" s="5">
        <v>5046.7299999999996</v>
      </c>
      <c r="W408" s="6">
        <v>0.21149999999999999</v>
      </c>
      <c r="X408" s="5">
        <v>36998.730000000003</v>
      </c>
      <c r="Y408" s="2" t="s">
        <v>69</v>
      </c>
      <c r="Z408" s="2" t="s">
        <v>125</v>
      </c>
      <c r="AA408" s="2" t="s">
        <v>35</v>
      </c>
    </row>
    <row r="409" spans="1:27">
      <c r="A409" s="2" t="s">
        <v>534</v>
      </c>
      <c r="B409" s="3">
        <v>45963</v>
      </c>
      <c r="C409" s="2">
        <v>2025</v>
      </c>
      <c r="D409" s="2" t="s">
        <v>76</v>
      </c>
      <c r="E409" s="2" t="s">
        <v>77</v>
      </c>
      <c r="F409" s="2" t="s">
        <v>98</v>
      </c>
      <c r="G409" s="2" t="s">
        <v>99</v>
      </c>
      <c r="H409" s="2" t="s">
        <v>31</v>
      </c>
      <c r="I409" s="2" t="s">
        <v>116</v>
      </c>
      <c r="J409" s="2" t="s">
        <v>65</v>
      </c>
      <c r="K409" s="2" t="s">
        <v>66</v>
      </c>
      <c r="L409" s="2" t="s">
        <v>67</v>
      </c>
      <c r="M409" s="2" t="s">
        <v>152</v>
      </c>
      <c r="N409" s="2">
        <v>15.61</v>
      </c>
      <c r="O409" s="2">
        <v>239</v>
      </c>
      <c r="P409" s="2">
        <v>9.4</v>
      </c>
      <c r="Q409" s="4">
        <v>41.36</v>
      </c>
      <c r="R409" s="5">
        <v>1500.78</v>
      </c>
      <c r="S409" s="5">
        <v>62072.26</v>
      </c>
      <c r="T409" s="6">
        <v>4.4499999999999998E-2</v>
      </c>
      <c r="U409" s="5">
        <v>59310.04</v>
      </c>
      <c r="V409" s="5">
        <v>3851.66</v>
      </c>
      <c r="W409" s="6">
        <v>0.13420000000000001</v>
      </c>
      <c r="X409" s="5">
        <v>7959.41</v>
      </c>
      <c r="Y409" s="2" t="s">
        <v>69</v>
      </c>
      <c r="Z409" s="2" t="s">
        <v>89</v>
      </c>
      <c r="AA409" s="2" t="s">
        <v>35</v>
      </c>
    </row>
    <row r="410" spans="1:27">
      <c r="A410" s="2" t="s">
        <v>535</v>
      </c>
      <c r="B410" s="3">
        <v>45357</v>
      </c>
      <c r="C410" s="2">
        <v>2024</v>
      </c>
      <c r="D410" s="2" t="s">
        <v>59</v>
      </c>
      <c r="E410" s="2" t="s">
        <v>60</v>
      </c>
      <c r="F410" s="2" t="s">
        <v>29</v>
      </c>
      <c r="G410" s="2" t="s">
        <v>78</v>
      </c>
      <c r="H410" s="2" t="s">
        <v>40</v>
      </c>
      <c r="I410" s="2" t="s">
        <v>88</v>
      </c>
      <c r="J410" s="2" t="s">
        <v>65</v>
      </c>
      <c r="K410" s="2" t="s">
        <v>54</v>
      </c>
      <c r="L410" s="2" t="s">
        <v>54</v>
      </c>
      <c r="M410" s="2" t="s">
        <v>55</v>
      </c>
      <c r="N410" s="2">
        <v>57.62</v>
      </c>
      <c r="O410" s="2">
        <v>1847</v>
      </c>
      <c r="P410" s="2">
        <v>3.8</v>
      </c>
      <c r="Q410" s="4">
        <v>95.77</v>
      </c>
      <c r="R410" s="5">
        <v>1341.19</v>
      </c>
      <c r="S410" s="5">
        <v>128445.77</v>
      </c>
      <c r="T410" s="6">
        <v>3.8399999999999997E-2</v>
      </c>
      <c r="U410" s="5">
        <v>123513.45</v>
      </c>
      <c r="V410" s="5">
        <v>6362.36</v>
      </c>
      <c r="W410" s="6">
        <v>0.22589999999999999</v>
      </c>
      <c r="X410" s="5">
        <v>27901.69</v>
      </c>
      <c r="Y410" s="2" t="s">
        <v>69</v>
      </c>
      <c r="Z410" s="2" t="s">
        <v>89</v>
      </c>
      <c r="AA410" s="2" t="s">
        <v>35</v>
      </c>
    </row>
    <row r="411" spans="1:27">
      <c r="A411" s="2" t="s">
        <v>536</v>
      </c>
      <c r="B411" s="3">
        <v>45321</v>
      </c>
      <c r="C411" s="2">
        <v>2024</v>
      </c>
      <c r="D411" s="2" t="s">
        <v>71</v>
      </c>
      <c r="E411" s="2" t="s">
        <v>60</v>
      </c>
      <c r="F411" s="2" t="s">
        <v>98</v>
      </c>
      <c r="G411" s="2" t="s">
        <v>137</v>
      </c>
      <c r="H411" s="2" t="s">
        <v>40</v>
      </c>
      <c r="I411" s="2" t="s">
        <v>93</v>
      </c>
      <c r="J411" s="2" t="s">
        <v>79</v>
      </c>
      <c r="K411" s="2" t="s">
        <v>100</v>
      </c>
      <c r="L411" s="2" t="s">
        <v>101</v>
      </c>
      <c r="M411" s="2" t="s">
        <v>102</v>
      </c>
      <c r="N411" s="2">
        <v>13.19</v>
      </c>
      <c r="O411" s="2">
        <v>192</v>
      </c>
      <c r="P411" s="2">
        <v>10.6</v>
      </c>
      <c r="Q411" s="4">
        <v>95.47</v>
      </c>
      <c r="R411" s="5">
        <v>1125.32</v>
      </c>
      <c r="S411" s="5">
        <v>107434.3</v>
      </c>
      <c r="T411" s="6">
        <v>5.28E-2</v>
      </c>
      <c r="U411" s="5">
        <v>101761.77</v>
      </c>
      <c r="V411" s="5">
        <v>8450.7999999999993</v>
      </c>
      <c r="W411" s="6">
        <v>0.10390000000000001</v>
      </c>
      <c r="X411" s="5">
        <v>10573.05</v>
      </c>
      <c r="Y411" s="2" t="s">
        <v>33</v>
      </c>
      <c r="Z411" s="2" t="s">
        <v>80</v>
      </c>
      <c r="AA411" s="2" t="s">
        <v>35</v>
      </c>
    </row>
    <row r="412" spans="1:27">
      <c r="A412" s="2" t="s">
        <v>537</v>
      </c>
      <c r="B412" s="3">
        <v>45766</v>
      </c>
      <c r="C412" s="2">
        <v>2025</v>
      </c>
      <c r="D412" s="2" t="s">
        <v>48</v>
      </c>
      <c r="E412" s="2" t="s">
        <v>49</v>
      </c>
      <c r="F412" s="2" t="s">
        <v>98</v>
      </c>
      <c r="G412" s="2" t="s">
        <v>137</v>
      </c>
      <c r="H412" s="2" t="s">
        <v>31</v>
      </c>
      <c r="I412" s="2" t="s">
        <v>52</v>
      </c>
      <c r="J412" s="2" t="s">
        <v>79</v>
      </c>
      <c r="K412" s="2" t="s">
        <v>43</v>
      </c>
      <c r="L412" s="2" t="s">
        <v>44</v>
      </c>
      <c r="M412" s="2" t="s">
        <v>124</v>
      </c>
      <c r="N412" s="2">
        <v>22.7</v>
      </c>
      <c r="O412" s="2">
        <v>16</v>
      </c>
      <c r="P412" s="2">
        <v>4.8</v>
      </c>
      <c r="Q412" s="4">
        <v>64.040000000000006</v>
      </c>
      <c r="R412" s="5">
        <v>808.99</v>
      </c>
      <c r="S412" s="5">
        <v>51807.72</v>
      </c>
      <c r="T412" s="6">
        <v>3.9100000000000003E-2</v>
      </c>
      <c r="U412" s="5">
        <v>49782.04</v>
      </c>
      <c r="V412" s="5">
        <v>6063.43</v>
      </c>
      <c r="W412" s="6">
        <v>0.14940000000000001</v>
      </c>
      <c r="X412" s="5">
        <v>7437.44</v>
      </c>
      <c r="Y412" s="2" t="s">
        <v>33</v>
      </c>
      <c r="Z412" s="2" t="s">
        <v>80</v>
      </c>
      <c r="AA412" s="2" t="s">
        <v>35</v>
      </c>
    </row>
    <row r="413" spans="1:27">
      <c r="A413" s="2" t="s">
        <v>538</v>
      </c>
      <c r="B413" s="3">
        <v>45528</v>
      </c>
      <c r="C413" s="2">
        <v>2024</v>
      </c>
      <c r="D413" s="2" t="s">
        <v>27</v>
      </c>
      <c r="E413" s="2" t="s">
        <v>28</v>
      </c>
      <c r="F413" s="2" t="s">
        <v>61</v>
      </c>
      <c r="G413" s="2" t="s">
        <v>132</v>
      </c>
      <c r="H413" s="2" t="s">
        <v>73</v>
      </c>
      <c r="I413" s="2" t="s">
        <v>116</v>
      </c>
      <c r="J413" s="2" t="s">
        <v>65</v>
      </c>
      <c r="K413" s="2" t="s">
        <v>54</v>
      </c>
      <c r="L413" s="2" t="s">
        <v>54</v>
      </c>
      <c r="M413" s="2" t="s">
        <v>162</v>
      </c>
      <c r="N413" s="2">
        <v>71.5</v>
      </c>
      <c r="O413" s="2">
        <v>1661</v>
      </c>
      <c r="P413" s="2">
        <v>7</v>
      </c>
      <c r="Q413" s="4">
        <v>79.430000000000007</v>
      </c>
      <c r="R413" s="5">
        <v>1153.1199999999999</v>
      </c>
      <c r="S413" s="5">
        <v>91592.320000000007</v>
      </c>
      <c r="T413" s="6">
        <v>3.1600000000000003E-2</v>
      </c>
      <c r="U413" s="5">
        <v>88698</v>
      </c>
      <c r="V413" s="5">
        <v>1829.72</v>
      </c>
      <c r="W413" s="6">
        <v>0.14849999999999999</v>
      </c>
      <c r="X413" s="5">
        <v>13171.65</v>
      </c>
      <c r="Y413" s="2" t="s">
        <v>33</v>
      </c>
      <c r="Z413" s="2" t="s">
        <v>46</v>
      </c>
      <c r="AA413" s="2" t="s">
        <v>35</v>
      </c>
    </row>
    <row r="414" spans="1:27">
      <c r="A414" s="2" t="s">
        <v>539</v>
      </c>
      <c r="B414" s="3">
        <v>45445</v>
      </c>
      <c r="C414" s="2">
        <v>2024</v>
      </c>
      <c r="D414" s="2" t="s">
        <v>91</v>
      </c>
      <c r="E414" s="2" t="s">
        <v>49</v>
      </c>
      <c r="F414" s="2" t="s">
        <v>98</v>
      </c>
      <c r="G414" s="2" t="s">
        <v>111</v>
      </c>
      <c r="H414" s="2" t="s">
        <v>31</v>
      </c>
      <c r="I414" s="2" t="s">
        <v>52</v>
      </c>
      <c r="J414" s="2" t="s">
        <v>127</v>
      </c>
      <c r="K414" s="2" t="s">
        <v>54</v>
      </c>
      <c r="L414" s="2" t="s">
        <v>54</v>
      </c>
      <c r="M414" s="2" t="s">
        <v>55</v>
      </c>
      <c r="N414" s="2">
        <v>50.02</v>
      </c>
      <c r="O414" s="2">
        <v>2848</v>
      </c>
      <c r="P414" s="2">
        <v>7.6</v>
      </c>
      <c r="Q414" s="4">
        <v>142.22</v>
      </c>
      <c r="R414" s="5">
        <v>1160.47</v>
      </c>
      <c r="S414" s="5">
        <v>165042.04</v>
      </c>
      <c r="T414" s="6">
        <v>4.5699999999999998E-2</v>
      </c>
      <c r="U414" s="5">
        <v>157499.62</v>
      </c>
      <c r="V414" s="5">
        <v>11782.48</v>
      </c>
      <c r="W414" s="6">
        <v>0.1401</v>
      </c>
      <c r="X414" s="5">
        <v>22065.7</v>
      </c>
      <c r="Y414" s="2" t="s">
        <v>69</v>
      </c>
      <c r="Z414" s="2" t="s">
        <v>125</v>
      </c>
      <c r="AA414" s="2" t="s">
        <v>35</v>
      </c>
    </row>
    <row r="415" spans="1:27">
      <c r="A415" s="2" t="s">
        <v>540</v>
      </c>
      <c r="B415" s="3">
        <v>45722</v>
      </c>
      <c r="C415" s="2">
        <v>2025</v>
      </c>
      <c r="D415" s="2" t="s">
        <v>59</v>
      </c>
      <c r="E415" s="2" t="s">
        <v>60</v>
      </c>
      <c r="F415" s="2" t="s">
        <v>50</v>
      </c>
      <c r="G415" s="2" t="s">
        <v>105</v>
      </c>
      <c r="H415" s="2" t="s">
        <v>31</v>
      </c>
      <c r="I415" s="2" t="s">
        <v>64</v>
      </c>
      <c r="J415" s="2" t="s">
        <v>79</v>
      </c>
      <c r="K415" s="2" t="s">
        <v>43</v>
      </c>
      <c r="L415" s="2" t="s">
        <v>44</v>
      </c>
      <c r="M415" s="2" t="s">
        <v>171</v>
      </c>
      <c r="N415" s="2">
        <v>36.28</v>
      </c>
      <c r="O415" s="2">
        <v>36</v>
      </c>
      <c r="P415" s="2">
        <v>7.5</v>
      </c>
      <c r="Q415" s="4">
        <v>230.88</v>
      </c>
      <c r="R415" s="5">
        <v>792.34</v>
      </c>
      <c r="S415" s="5">
        <v>182935.46</v>
      </c>
      <c r="T415" s="6">
        <v>5.3499999999999999E-2</v>
      </c>
      <c r="U415" s="5">
        <v>173148.41</v>
      </c>
      <c r="V415" s="5">
        <v>20803.71</v>
      </c>
      <c r="W415" s="6">
        <v>0.1308</v>
      </c>
      <c r="X415" s="5">
        <v>22647.81</v>
      </c>
      <c r="Y415" s="2" t="s">
        <v>33</v>
      </c>
      <c r="Z415" s="2" t="s">
        <v>89</v>
      </c>
      <c r="AA415" s="2" t="s">
        <v>35</v>
      </c>
    </row>
    <row r="416" spans="1:27">
      <c r="A416" s="2" t="s">
        <v>541</v>
      </c>
      <c r="B416" s="3">
        <v>45740</v>
      </c>
      <c r="C416" s="2">
        <v>2025</v>
      </c>
      <c r="D416" s="2" t="s">
        <v>59</v>
      </c>
      <c r="E416" s="2" t="s">
        <v>60</v>
      </c>
      <c r="F416" s="2" t="s">
        <v>29</v>
      </c>
      <c r="G416" s="2" t="s">
        <v>78</v>
      </c>
      <c r="H416" s="2" t="s">
        <v>40</v>
      </c>
      <c r="I416" s="2" t="s">
        <v>88</v>
      </c>
      <c r="J416" s="2" t="s">
        <v>65</v>
      </c>
      <c r="K416" s="2" t="s">
        <v>100</v>
      </c>
      <c r="L416" s="2" t="s">
        <v>101</v>
      </c>
      <c r="M416" s="2" t="s">
        <v>145</v>
      </c>
      <c r="N416" s="2">
        <v>9.9</v>
      </c>
      <c r="O416" s="2">
        <v>385</v>
      </c>
      <c r="P416" s="2">
        <v>10.9</v>
      </c>
      <c r="Q416" s="4">
        <v>239.87</v>
      </c>
      <c r="R416" s="5">
        <v>1322.23</v>
      </c>
      <c r="S416" s="5">
        <v>317163.31</v>
      </c>
      <c r="T416" s="6">
        <v>5.7000000000000002E-2</v>
      </c>
      <c r="U416" s="5">
        <v>299085</v>
      </c>
      <c r="V416" s="5">
        <v>14465</v>
      </c>
      <c r="W416" s="6">
        <v>0.1774</v>
      </c>
      <c r="X416" s="5">
        <v>53057.68</v>
      </c>
      <c r="Y416" s="2" t="s">
        <v>69</v>
      </c>
      <c r="Z416" s="2" t="s">
        <v>70</v>
      </c>
      <c r="AA416" s="2" t="s">
        <v>35</v>
      </c>
    </row>
    <row r="417" spans="1:27">
      <c r="A417" s="2" t="s">
        <v>542</v>
      </c>
      <c r="B417" s="3">
        <v>45645</v>
      </c>
      <c r="C417" s="2">
        <v>2024</v>
      </c>
      <c r="D417" s="2" t="s">
        <v>97</v>
      </c>
      <c r="E417" s="2" t="s">
        <v>77</v>
      </c>
      <c r="F417" s="2" t="s">
        <v>38</v>
      </c>
      <c r="G417" s="2" t="s">
        <v>72</v>
      </c>
      <c r="H417" s="2" t="s">
        <v>73</v>
      </c>
      <c r="I417" s="2" t="s">
        <v>116</v>
      </c>
      <c r="J417" s="2" t="s">
        <v>127</v>
      </c>
      <c r="K417" s="2" t="s">
        <v>54</v>
      </c>
      <c r="L417" s="2" t="s">
        <v>54</v>
      </c>
      <c r="M417" s="2" t="s">
        <v>162</v>
      </c>
      <c r="N417" s="2">
        <v>10.56</v>
      </c>
      <c r="O417" s="2">
        <v>1613</v>
      </c>
      <c r="P417" s="2">
        <v>7.6</v>
      </c>
      <c r="Q417" s="4">
        <v>106.82</v>
      </c>
      <c r="R417" s="5">
        <v>1054.5899999999999</v>
      </c>
      <c r="S417" s="5">
        <v>112651.3</v>
      </c>
      <c r="T417" s="6">
        <v>1.29E-2</v>
      </c>
      <c r="U417" s="5">
        <v>111198.1</v>
      </c>
      <c r="V417" s="5">
        <v>3319.81</v>
      </c>
      <c r="W417" s="6">
        <v>0.252</v>
      </c>
      <c r="X417" s="5">
        <v>28021.919999999998</v>
      </c>
      <c r="Y417" s="2" t="s">
        <v>75</v>
      </c>
      <c r="Z417" s="2" t="s">
        <v>106</v>
      </c>
      <c r="AA417" s="2" t="s">
        <v>35</v>
      </c>
    </row>
    <row r="418" spans="1:27">
      <c r="A418" s="2" t="s">
        <v>543</v>
      </c>
      <c r="B418" s="3">
        <v>45747</v>
      </c>
      <c r="C418" s="2">
        <v>2025</v>
      </c>
      <c r="D418" s="2" t="s">
        <v>59</v>
      </c>
      <c r="E418" s="2" t="s">
        <v>60</v>
      </c>
      <c r="F418" s="2" t="s">
        <v>118</v>
      </c>
      <c r="G418" s="2" t="s">
        <v>155</v>
      </c>
      <c r="H418" s="2" t="s">
        <v>40</v>
      </c>
      <c r="I418" s="2" t="s">
        <v>116</v>
      </c>
      <c r="J418" s="2" t="s">
        <v>65</v>
      </c>
      <c r="K418" s="2" t="s">
        <v>66</v>
      </c>
      <c r="L418" s="2" t="s">
        <v>67</v>
      </c>
      <c r="M418" s="2" t="s">
        <v>140</v>
      </c>
      <c r="N418" s="2">
        <v>11.38</v>
      </c>
      <c r="O418" s="2">
        <v>106</v>
      </c>
      <c r="P418" s="2">
        <v>4.4000000000000004</v>
      </c>
      <c r="Q418" s="4">
        <v>216.02</v>
      </c>
      <c r="R418" s="5">
        <v>1572.31</v>
      </c>
      <c r="S418" s="5">
        <v>339650.41</v>
      </c>
      <c r="T418" s="6">
        <v>3.5499999999999997E-2</v>
      </c>
      <c r="U418" s="5">
        <v>327592.82</v>
      </c>
      <c r="V418" s="5">
        <v>19871.88</v>
      </c>
      <c r="W418" s="6">
        <v>0.23899999999999999</v>
      </c>
      <c r="X418" s="5">
        <v>78294.679999999993</v>
      </c>
      <c r="Y418" s="2" t="s">
        <v>75</v>
      </c>
      <c r="Z418" s="2" t="s">
        <v>125</v>
      </c>
      <c r="AA418" s="2" t="s">
        <v>35</v>
      </c>
    </row>
    <row r="419" spans="1:27">
      <c r="A419" s="2" t="s">
        <v>544</v>
      </c>
      <c r="B419" s="3">
        <v>45916</v>
      </c>
      <c r="C419" s="2">
        <v>2025</v>
      </c>
      <c r="D419" s="2" t="s">
        <v>37</v>
      </c>
      <c r="E419" s="2" t="s">
        <v>28</v>
      </c>
      <c r="F419" s="2" t="s">
        <v>50</v>
      </c>
      <c r="G419" s="2" t="s">
        <v>51</v>
      </c>
      <c r="H419" s="2" t="s">
        <v>31</v>
      </c>
      <c r="I419" s="2" t="s">
        <v>32</v>
      </c>
      <c r="J419" s="2" t="s">
        <v>65</v>
      </c>
      <c r="K419" s="2" t="s">
        <v>100</v>
      </c>
      <c r="L419" s="2" t="s">
        <v>101</v>
      </c>
      <c r="M419" s="2" t="s">
        <v>145</v>
      </c>
      <c r="N419" s="2">
        <v>2.89</v>
      </c>
      <c r="O419" s="2">
        <v>111</v>
      </c>
      <c r="P419" s="2">
        <v>10.9</v>
      </c>
      <c r="Q419" s="4">
        <v>130.69999999999999</v>
      </c>
      <c r="R419" s="5">
        <v>1227.58</v>
      </c>
      <c r="S419" s="5">
        <v>160444.71</v>
      </c>
      <c r="T419" s="6">
        <v>6.2100000000000002E-2</v>
      </c>
      <c r="U419" s="5">
        <v>150481.09</v>
      </c>
      <c r="V419" s="5">
        <v>11989.23</v>
      </c>
      <c r="W419" s="6">
        <v>0.13969999999999999</v>
      </c>
      <c r="X419" s="5">
        <v>21022.21</v>
      </c>
      <c r="Y419" s="2" t="s">
        <v>69</v>
      </c>
      <c r="Z419" s="2" t="s">
        <v>80</v>
      </c>
      <c r="AA419" s="2" t="s">
        <v>35</v>
      </c>
    </row>
    <row r="420" spans="1:27">
      <c r="A420" s="2" t="s">
        <v>545</v>
      </c>
      <c r="B420" s="3">
        <v>45947</v>
      </c>
      <c r="C420" s="2">
        <v>2025</v>
      </c>
      <c r="D420" s="2" t="s">
        <v>110</v>
      </c>
      <c r="E420" s="2" t="s">
        <v>77</v>
      </c>
      <c r="F420" s="2" t="s">
        <v>86</v>
      </c>
      <c r="G420" s="2" t="s">
        <v>117</v>
      </c>
      <c r="H420" s="2" t="s">
        <v>73</v>
      </c>
      <c r="I420" s="2" t="s">
        <v>88</v>
      </c>
      <c r="J420" s="2" t="s">
        <v>127</v>
      </c>
      <c r="K420" s="2" t="s">
        <v>54</v>
      </c>
      <c r="L420" s="2" t="s">
        <v>54</v>
      </c>
      <c r="M420" s="2" t="s">
        <v>55</v>
      </c>
      <c r="N420" s="2">
        <v>73.34</v>
      </c>
      <c r="O420" s="2">
        <v>2580</v>
      </c>
      <c r="P420" s="2">
        <v>3.5</v>
      </c>
      <c r="Q420" s="4">
        <v>107.87</v>
      </c>
      <c r="R420" s="5">
        <v>1244.48</v>
      </c>
      <c r="S420" s="5">
        <v>134242.06</v>
      </c>
      <c r="T420" s="6">
        <v>5.1499999999999997E-2</v>
      </c>
      <c r="U420" s="5">
        <v>127328.59</v>
      </c>
      <c r="V420" s="5">
        <v>2212.96</v>
      </c>
      <c r="W420" s="6">
        <v>0.221</v>
      </c>
      <c r="X420" s="5">
        <v>28139.62</v>
      </c>
      <c r="Y420" s="2" t="s">
        <v>75</v>
      </c>
      <c r="Z420" s="2" t="s">
        <v>34</v>
      </c>
      <c r="AA420" s="2" t="s">
        <v>35</v>
      </c>
    </row>
    <row r="421" spans="1:27">
      <c r="A421" s="2" t="s">
        <v>546</v>
      </c>
      <c r="B421" s="3">
        <v>45706</v>
      </c>
      <c r="C421" s="2">
        <v>2025</v>
      </c>
      <c r="D421" s="2" t="s">
        <v>113</v>
      </c>
      <c r="E421" s="2" t="s">
        <v>60</v>
      </c>
      <c r="F421" s="2" t="s">
        <v>29</v>
      </c>
      <c r="G421" s="2" t="s">
        <v>30</v>
      </c>
      <c r="H421" s="2" t="s">
        <v>31</v>
      </c>
      <c r="I421" s="2" t="s">
        <v>41</v>
      </c>
      <c r="J421" s="2" t="s">
        <v>79</v>
      </c>
      <c r="K421" s="2" t="s">
        <v>100</v>
      </c>
      <c r="L421" s="2" t="s">
        <v>101</v>
      </c>
      <c r="M421" s="2" t="s">
        <v>129</v>
      </c>
      <c r="N421" s="2">
        <v>2.75</v>
      </c>
      <c r="O421" s="2">
        <v>307</v>
      </c>
      <c r="P421" s="2">
        <v>5</v>
      </c>
      <c r="Q421" s="4">
        <v>7.95</v>
      </c>
      <c r="R421" s="5">
        <v>1265.3</v>
      </c>
      <c r="S421" s="5">
        <v>10059.14</v>
      </c>
      <c r="T421" s="6">
        <v>2.3E-2</v>
      </c>
      <c r="U421" s="5">
        <v>9827.7800000000007</v>
      </c>
      <c r="V421" s="5">
        <v>660.02</v>
      </c>
      <c r="W421" s="6">
        <v>0.18010000000000001</v>
      </c>
      <c r="X421" s="5">
        <v>1769.98</v>
      </c>
      <c r="Y421" s="2" t="s">
        <v>33</v>
      </c>
      <c r="Z421" s="2" t="s">
        <v>46</v>
      </c>
      <c r="AA421" s="2" t="s">
        <v>35</v>
      </c>
    </row>
    <row r="422" spans="1:27">
      <c r="A422" s="2" t="s">
        <v>547</v>
      </c>
      <c r="B422" s="3">
        <v>45729</v>
      </c>
      <c r="C422" s="2">
        <v>2025</v>
      </c>
      <c r="D422" s="2" t="s">
        <v>59</v>
      </c>
      <c r="E422" s="2" t="s">
        <v>60</v>
      </c>
      <c r="F422" s="2" t="s">
        <v>118</v>
      </c>
      <c r="G422" s="2" t="s">
        <v>119</v>
      </c>
      <c r="H422" s="2" t="s">
        <v>31</v>
      </c>
      <c r="I422" s="2" t="s">
        <v>32</v>
      </c>
      <c r="J422" s="2" t="s">
        <v>127</v>
      </c>
      <c r="K422" s="2" t="s">
        <v>54</v>
      </c>
      <c r="L422" s="2" t="s">
        <v>54</v>
      </c>
      <c r="M422" s="2" t="s">
        <v>94</v>
      </c>
      <c r="N422" s="2">
        <v>29.08</v>
      </c>
      <c r="O422" s="2">
        <v>3182</v>
      </c>
      <c r="P422" s="2">
        <v>9.9</v>
      </c>
      <c r="Q422" s="4">
        <v>104.9</v>
      </c>
      <c r="R422" s="5">
        <v>1053.73</v>
      </c>
      <c r="S422" s="5">
        <v>110536.28</v>
      </c>
      <c r="T422" s="6">
        <v>2.58E-2</v>
      </c>
      <c r="U422" s="5">
        <v>107684.44</v>
      </c>
      <c r="V422" s="5">
        <v>5785.6</v>
      </c>
      <c r="W422" s="6">
        <v>0.25679999999999997</v>
      </c>
      <c r="X422" s="5">
        <v>27653.360000000001</v>
      </c>
      <c r="Y422" s="2" t="s">
        <v>56</v>
      </c>
      <c r="Z422" s="2" t="s">
        <v>70</v>
      </c>
      <c r="AA422" s="2" t="s">
        <v>35</v>
      </c>
    </row>
    <row r="423" spans="1:27">
      <c r="A423" s="2" t="s">
        <v>548</v>
      </c>
      <c r="B423" s="3">
        <v>45591</v>
      </c>
      <c r="C423" s="2">
        <v>2024</v>
      </c>
      <c r="D423" s="2" t="s">
        <v>110</v>
      </c>
      <c r="E423" s="2" t="s">
        <v>77</v>
      </c>
      <c r="F423" s="2" t="s">
        <v>38</v>
      </c>
      <c r="G423" s="2" t="s">
        <v>39</v>
      </c>
      <c r="H423" s="2" t="s">
        <v>31</v>
      </c>
      <c r="I423" s="2" t="s">
        <v>32</v>
      </c>
      <c r="J423" s="2" t="s">
        <v>79</v>
      </c>
      <c r="K423" s="2" t="s">
        <v>100</v>
      </c>
      <c r="L423" s="2" t="s">
        <v>101</v>
      </c>
      <c r="M423" s="2" t="s">
        <v>108</v>
      </c>
      <c r="N423" s="2">
        <v>3.11</v>
      </c>
      <c r="O423" s="2">
        <v>510</v>
      </c>
      <c r="P423" s="2">
        <v>11.5</v>
      </c>
      <c r="Q423" s="4">
        <v>167.94</v>
      </c>
      <c r="R423" s="5">
        <v>1261.78</v>
      </c>
      <c r="S423" s="5">
        <v>211903.33</v>
      </c>
      <c r="T423" s="6">
        <v>2.3199999999999998E-2</v>
      </c>
      <c r="U423" s="5">
        <v>206987.17</v>
      </c>
      <c r="V423" s="5">
        <v>14647.32</v>
      </c>
      <c r="W423" s="6">
        <v>0.23169999999999999</v>
      </c>
      <c r="X423" s="5">
        <v>47958.93</v>
      </c>
      <c r="Y423" s="2" t="s">
        <v>33</v>
      </c>
      <c r="Z423" s="2" t="s">
        <v>80</v>
      </c>
      <c r="AA423" s="2" t="s">
        <v>35</v>
      </c>
    </row>
    <row r="424" spans="1:27">
      <c r="A424" s="2" t="s">
        <v>549</v>
      </c>
      <c r="B424" s="3">
        <v>45369</v>
      </c>
      <c r="C424" s="2">
        <v>2024</v>
      </c>
      <c r="D424" s="2" t="s">
        <v>59</v>
      </c>
      <c r="E424" s="2" t="s">
        <v>60</v>
      </c>
      <c r="F424" s="2" t="s">
        <v>118</v>
      </c>
      <c r="G424" s="2" t="s">
        <v>119</v>
      </c>
      <c r="H424" s="2" t="s">
        <v>63</v>
      </c>
      <c r="I424" s="2" t="s">
        <v>93</v>
      </c>
      <c r="J424" s="2" t="s">
        <v>53</v>
      </c>
      <c r="K424" s="2" t="s">
        <v>54</v>
      </c>
      <c r="L424" s="2" t="s">
        <v>54</v>
      </c>
      <c r="M424" s="2" t="s">
        <v>162</v>
      </c>
      <c r="N424" s="2">
        <v>40.96</v>
      </c>
      <c r="O424" s="2">
        <v>2722</v>
      </c>
      <c r="P424" s="2">
        <v>3.1</v>
      </c>
      <c r="Q424" s="4">
        <v>99.02</v>
      </c>
      <c r="R424" s="5">
        <v>1195.29</v>
      </c>
      <c r="S424" s="5">
        <v>118357.62</v>
      </c>
      <c r="T424" s="6">
        <v>5.1200000000000002E-2</v>
      </c>
      <c r="U424" s="5">
        <v>112297.71</v>
      </c>
      <c r="V424" s="5">
        <v>3533.48</v>
      </c>
      <c r="W424" s="6">
        <v>0.2041</v>
      </c>
      <c r="X424" s="5">
        <v>22919.96</v>
      </c>
      <c r="Y424" s="2" t="s">
        <v>33</v>
      </c>
      <c r="Z424" s="2" t="s">
        <v>106</v>
      </c>
      <c r="AA424" s="2" t="s">
        <v>35</v>
      </c>
    </row>
    <row r="425" spans="1:27">
      <c r="A425" s="2" t="s">
        <v>550</v>
      </c>
      <c r="B425" s="3">
        <v>45308</v>
      </c>
      <c r="C425" s="2">
        <v>2024</v>
      </c>
      <c r="D425" s="2" t="s">
        <v>71</v>
      </c>
      <c r="E425" s="2" t="s">
        <v>60</v>
      </c>
      <c r="F425" s="2" t="s">
        <v>50</v>
      </c>
      <c r="G425" s="2" t="s">
        <v>105</v>
      </c>
      <c r="H425" s="2" t="s">
        <v>73</v>
      </c>
      <c r="I425" s="2" t="s">
        <v>74</v>
      </c>
      <c r="J425" s="2" t="s">
        <v>127</v>
      </c>
      <c r="K425" s="2" t="s">
        <v>54</v>
      </c>
      <c r="L425" s="2" t="s">
        <v>54</v>
      </c>
      <c r="M425" s="2" t="s">
        <v>158</v>
      </c>
      <c r="N425" s="2">
        <v>62.39</v>
      </c>
      <c r="O425" s="2">
        <v>2034</v>
      </c>
      <c r="P425" s="2">
        <v>4.9000000000000004</v>
      </c>
      <c r="Q425" s="4">
        <v>63.38</v>
      </c>
      <c r="R425" s="5">
        <v>1142.68</v>
      </c>
      <c r="S425" s="5">
        <v>72423.06</v>
      </c>
      <c r="T425" s="6">
        <v>3.9600000000000003E-2</v>
      </c>
      <c r="U425" s="5">
        <v>69555.11</v>
      </c>
      <c r="V425" s="5">
        <v>1479.13</v>
      </c>
      <c r="W425" s="6">
        <v>0.2495</v>
      </c>
      <c r="X425" s="5">
        <v>17354</v>
      </c>
      <c r="Y425" s="2" t="s">
        <v>83</v>
      </c>
      <c r="Z425" s="2" t="s">
        <v>106</v>
      </c>
      <c r="AA425" s="2" t="s">
        <v>35</v>
      </c>
    </row>
    <row r="426" spans="1:27">
      <c r="A426" s="2" t="s">
        <v>551</v>
      </c>
      <c r="B426" s="3">
        <v>45886</v>
      </c>
      <c r="C426" s="2">
        <v>2025</v>
      </c>
      <c r="D426" s="2" t="s">
        <v>27</v>
      </c>
      <c r="E426" s="2" t="s">
        <v>28</v>
      </c>
      <c r="F426" s="2" t="s">
        <v>61</v>
      </c>
      <c r="G426" s="2" t="s">
        <v>132</v>
      </c>
      <c r="H426" s="2" t="s">
        <v>40</v>
      </c>
      <c r="I426" s="2" t="s">
        <v>64</v>
      </c>
      <c r="J426" s="2" t="s">
        <v>127</v>
      </c>
      <c r="K426" s="2" t="s">
        <v>54</v>
      </c>
      <c r="L426" s="2" t="s">
        <v>54</v>
      </c>
      <c r="M426" s="2" t="s">
        <v>94</v>
      </c>
      <c r="N426" s="2">
        <v>50.65</v>
      </c>
      <c r="O426" s="2">
        <v>1791</v>
      </c>
      <c r="P426" s="2">
        <v>7.8</v>
      </c>
      <c r="Q426" s="4">
        <v>235.68</v>
      </c>
      <c r="R426" s="5">
        <v>1137.1199999999999</v>
      </c>
      <c r="S426" s="5">
        <v>267996.44</v>
      </c>
      <c r="T426" s="6">
        <v>1.89E-2</v>
      </c>
      <c r="U426" s="5">
        <v>262931.31</v>
      </c>
      <c r="V426" s="5">
        <v>12719.85</v>
      </c>
      <c r="W426" s="6">
        <v>0.14419999999999999</v>
      </c>
      <c r="X426" s="5">
        <v>37914.69</v>
      </c>
      <c r="Y426" s="2" t="s">
        <v>83</v>
      </c>
      <c r="Z426" s="2" t="s">
        <v>34</v>
      </c>
      <c r="AA426" s="2" t="s">
        <v>35</v>
      </c>
    </row>
    <row r="427" spans="1:27">
      <c r="A427" s="2" t="s">
        <v>552</v>
      </c>
      <c r="B427" s="3">
        <v>45440</v>
      </c>
      <c r="C427" s="2">
        <v>2024</v>
      </c>
      <c r="D427" s="2" t="s">
        <v>81</v>
      </c>
      <c r="E427" s="2" t="s">
        <v>49</v>
      </c>
      <c r="F427" s="2" t="s">
        <v>98</v>
      </c>
      <c r="G427" s="2" t="s">
        <v>111</v>
      </c>
      <c r="H427" s="2" t="s">
        <v>73</v>
      </c>
      <c r="I427" s="2" t="s">
        <v>93</v>
      </c>
      <c r="J427" s="2" t="s">
        <v>42</v>
      </c>
      <c r="K427" s="2" t="s">
        <v>43</v>
      </c>
      <c r="L427" s="2" t="s">
        <v>44</v>
      </c>
      <c r="M427" s="2" t="s">
        <v>124</v>
      </c>
      <c r="N427" s="2">
        <v>25.13</v>
      </c>
      <c r="O427" s="2">
        <v>31</v>
      </c>
      <c r="P427" s="2">
        <v>5.9</v>
      </c>
      <c r="Q427" s="4">
        <v>88.3</v>
      </c>
      <c r="R427" s="5">
        <v>704.72</v>
      </c>
      <c r="S427" s="5">
        <v>62226.78</v>
      </c>
      <c r="T427" s="6">
        <v>2.52E-2</v>
      </c>
      <c r="U427" s="5">
        <v>60658.67</v>
      </c>
      <c r="V427" s="5">
        <v>2264.5500000000002</v>
      </c>
      <c r="W427" s="6">
        <v>0.26650000000000001</v>
      </c>
      <c r="X427" s="5">
        <v>16165.54</v>
      </c>
      <c r="Y427" s="2" t="s">
        <v>75</v>
      </c>
      <c r="Z427" s="2" t="s">
        <v>70</v>
      </c>
      <c r="AA427" s="2" t="s">
        <v>35</v>
      </c>
    </row>
    <row r="428" spans="1:27">
      <c r="A428" s="2" t="s">
        <v>553</v>
      </c>
      <c r="B428" s="3">
        <v>45439</v>
      </c>
      <c r="C428" s="2">
        <v>2024</v>
      </c>
      <c r="D428" s="2" t="s">
        <v>81</v>
      </c>
      <c r="E428" s="2" t="s">
        <v>49</v>
      </c>
      <c r="F428" s="2" t="s">
        <v>61</v>
      </c>
      <c r="G428" s="2" t="s">
        <v>114</v>
      </c>
      <c r="H428" s="2" t="s">
        <v>63</v>
      </c>
      <c r="I428" s="2" t="s">
        <v>32</v>
      </c>
      <c r="J428" s="2" t="s">
        <v>79</v>
      </c>
      <c r="K428" s="2" t="s">
        <v>100</v>
      </c>
      <c r="L428" s="2" t="s">
        <v>101</v>
      </c>
      <c r="M428" s="2" t="s">
        <v>129</v>
      </c>
      <c r="N428" s="2">
        <v>12.92</v>
      </c>
      <c r="O428" s="2">
        <v>56</v>
      </c>
      <c r="P428" s="2">
        <v>5</v>
      </c>
      <c r="Q428" s="4">
        <v>149.91</v>
      </c>
      <c r="R428" s="5">
        <v>1397.98</v>
      </c>
      <c r="S428" s="5">
        <v>209571.18</v>
      </c>
      <c r="T428" s="6">
        <v>4.7100000000000003E-2</v>
      </c>
      <c r="U428" s="5">
        <v>199700.38</v>
      </c>
      <c r="V428" s="5">
        <v>6269.8</v>
      </c>
      <c r="W428" s="6">
        <v>0.20830000000000001</v>
      </c>
      <c r="X428" s="5">
        <v>41597.589999999997</v>
      </c>
      <c r="Y428" s="2" t="s">
        <v>56</v>
      </c>
      <c r="Z428" s="2" t="s">
        <v>125</v>
      </c>
      <c r="AA428" s="2" t="s">
        <v>35</v>
      </c>
    </row>
    <row r="429" spans="1:27">
      <c r="A429" s="2" t="s">
        <v>554</v>
      </c>
      <c r="B429" s="3">
        <v>45582</v>
      </c>
      <c r="C429" s="2">
        <v>2024</v>
      </c>
      <c r="D429" s="2" t="s">
        <v>110</v>
      </c>
      <c r="E429" s="2" t="s">
        <v>77</v>
      </c>
      <c r="F429" s="2" t="s">
        <v>98</v>
      </c>
      <c r="G429" s="2" t="s">
        <v>111</v>
      </c>
      <c r="H429" s="2" t="s">
        <v>40</v>
      </c>
      <c r="I429" s="2" t="s">
        <v>93</v>
      </c>
      <c r="J429" s="2" t="s">
        <v>42</v>
      </c>
      <c r="K429" s="2" t="s">
        <v>100</v>
      </c>
      <c r="L429" s="2" t="s">
        <v>101</v>
      </c>
      <c r="M429" s="2" t="s">
        <v>145</v>
      </c>
      <c r="N429" s="2">
        <v>4.79</v>
      </c>
      <c r="O429" s="2">
        <v>473</v>
      </c>
      <c r="P429" s="2">
        <v>4.4000000000000004</v>
      </c>
      <c r="Q429" s="4">
        <v>230.01</v>
      </c>
      <c r="R429" s="5">
        <v>1266.51</v>
      </c>
      <c r="S429" s="5">
        <v>291309.96999999997</v>
      </c>
      <c r="T429" s="6">
        <v>5.4399999999999997E-2</v>
      </c>
      <c r="U429" s="5">
        <v>275462.71000000002</v>
      </c>
      <c r="V429" s="5">
        <v>16669.52</v>
      </c>
      <c r="W429" s="6">
        <v>0.23400000000000001</v>
      </c>
      <c r="X429" s="5">
        <v>64458.27</v>
      </c>
      <c r="Y429" s="2" t="s">
        <v>33</v>
      </c>
      <c r="Z429" s="2" t="s">
        <v>80</v>
      </c>
      <c r="AA429" s="2" t="s">
        <v>35</v>
      </c>
    </row>
    <row r="430" spans="1:27">
      <c r="A430" s="2" t="s">
        <v>555</v>
      </c>
      <c r="B430" s="3">
        <v>45322</v>
      </c>
      <c r="C430" s="2">
        <v>2024</v>
      </c>
      <c r="D430" s="2" t="s">
        <v>71</v>
      </c>
      <c r="E430" s="2" t="s">
        <v>60</v>
      </c>
      <c r="F430" s="2" t="s">
        <v>38</v>
      </c>
      <c r="G430" s="2" t="s">
        <v>39</v>
      </c>
      <c r="H430" s="2" t="s">
        <v>73</v>
      </c>
      <c r="I430" s="2" t="s">
        <v>74</v>
      </c>
      <c r="J430" s="2" t="s">
        <v>53</v>
      </c>
      <c r="K430" s="2" t="s">
        <v>54</v>
      </c>
      <c r="L430" s="2" t="s">
        <v>54</v>
      </c>
      <c r="M430" s="2" t="s">
        <v>55</v>
      </c>
      <c r="N430" s="2">
        <v>30.85</v>
      </c>
      <c r="O430" s="2">
        <v>2960</v>
      </c>
      <c r="P430" s="2">
        <v>8.8000000000000007</v>
      </c>
      <c r="Q430" s="4">
        <v>37.15</v>
      </c>
      <c r="R430" s="5">
        <v>1066.8599999999999</v>
      </c>
      <c r="S430" s="5">
        <v>39633.85</v>
      </c>
      <c r="T430" s="6">
        <v>1.9699999999999999E-2</v>
      </c>
      <c r="U430" s="5">
        <v>38853.06</v>
      </c>
      <c r="V430" s="5">
        <v>1508.45</v>
      </c>
      <c r="W430" s="6">
        <v>0.26279999999999998</v>
      </c>
      <c r="X430" s="5">
        <v>10210.58</v>
      </c>
      <c r="Y430" s="2" t="s">
        <v>69</v>
      </c>
      <c r="Z430" s="2" t="s">
        <v>70</v>
      </c>
      <c r="AA430" s="2" t="s">
        <v>35</v>
      </c>
    </row>
    <row r="431" spans="1:27">
      <c r="A431" s="2" t="s">
        <v>556</v>
      </c>
      <c r="B431" s="3">
        <v>45691</v>
      </c>
      <c r="C431" s="2">
        <v>2025</v>
      </c>
      <c r="D431" s="2" t="s">
        <v>113</v>
      </c>
      <c r="E431" s="2" t="s">
        <v>60</v>
      </c>
      <c r="F431" s="2" t="s">
        <v>61</v>
      </c>
      <c r="G431" s="2" t="s">
        <v>62</v>
      </c>
      <c r="H431" s="2" t="s">
        <v>31</v>
      </c>
      <c r="I431" s="2" t="s">
        <v>41</v>
      </c>
      <c r="J431" s="2" t="s">
        <v>65</v>
      </c>
      <c r="K431" s="2" t="s">
        <v>66</v>
      </c>
      <c r="L431" s="2" t="s">
        <v>67</v>
      </c>
      <c r="M431" s="2" t="s">
        <v>68</v>
      </c>
      <c r="N431" s="2">
        <v>7.22</v>
      </c>
      <c r="O431" s="2">
        <v>249</v>
      </c>
      <c r="P431" s="2">
        <v>4.4000000000000004</v>
      </c>
      <c r="Q431" s="4">
        <v>55.78</v>
      </c>
      <c r="R431" s="5">
        <v>1453.87</v>
      </c>
      <c r="S431" s="5">
        <v>81096.87</v>
      </c>
      <c r="T431" s="6">
        <v>5.9400000000000001E-2</v>
      </c>
      <c r="U431" s="5">
        <v>76279.72</v>
      </c>
      <c r="V431" s="5">
        <v>3878.65</v>
      </c>
      <c r="W431" s="6">
        <v>0.15989999999999999</v>
      </c>
      <c r="X431" s="5">
        <v>12197.13</v>
      </c>
      <c r="Y431" s="2" t="s">
        <v>56</v>
      </c>
      <c r="Z431" s="2" t="s">
        <v>70</v>
      </c>
      <c r="AA431" s="2" t="s">
        <v>35</v>
      </c>
    </row>
    <row r="432" spans="1:27">
      <c r="A432" s="2" t="s">
        <v>557</v>
      </c>
      <c r="B432" s="3">
        <v>45693</v>
      </c>
      <c r="C432" s="2">
        <v>2025</v>
      </c>
      <c r="D432" s="2" t="s">
        <v>113</v>
      </c>
      <c r="E432" s="2" t="s">
        <v>60</v>
      </c>
      <c r="F432" s="2" t="s">
        <v>38</v>
      </c>
      <c r="G432" s="2" t="s">
        <v>82</v>
      </c>
      <c r="H432" s="2" t="s">
        <v>31</v>
      </c>
      <c r="I432" s="2" t="s">
        <v>32</v>
      </c>
      <c r="J432" s="2" t="s">
        <v>127</v>
      </c>
      <c r="K432" s="2" t="s">
        <v>54</v>
      </c>
      <c r="L432" s="2" t="s">
        <v>54</v>
      </c>
      <c r="M432" s="2" t="s">
        <v>94</v>
      </c>
      <c r="N432" s="2">
        <v>62.22</v>
      </c>
      <c r="O432" s="2">
        <v>2743</v>
      </c>
      <c r="P432" s="2">
        <v>7</v>
      </c>
      <c r="Q432" s="4">
        <v>8.66</v>
      </c>
      <c r="R432" s="5">
        <v>1084.55</v>
      </c>
      <c r="S432" s="5">
        <v>9392.2000000000007</v>
      </c>
      <c r="T432" s="6">
        <v>1.9E-2</v>
      </c>
      <c r="U432" s="5">
        <v>9213.75</v>
      </c>
      <c r="V432" s="5">
        <v>473.54</v>
      </c>
      <c r="W432" s="6">
        <v>0.1532</v>
      </c>
      <c r="X432" s="5">
        <v>1411.55</v>
      </c>
      <c r="Y432" s="2" t="s">
        <v>83</v>
      </c>
      <c r="Z432" s="2" t="s">
        <v>34</v>
      </c>
      <c r="AA432" s="2" t="s">
        <v>35</v>
      </c>
    </row>
    <row r="433" spans="1:27">
      <c r="A433" s="2" t="s">
        <v>558</v>
      </c>
      <c r="B433" s="3">
        <v>45885</v>
      </c>
      <c r="C433" s="2">
        <v>2025</v>
      </c>
      <c r="D433" s="2" t="s">
        <v>27</v>
      </c>
      <c r="E433" s="2" t="s">
        <v>28</v>
      </c>
      <c r="F433" s="2" t="s">
        <v>38</v>
      </c>
      <c r="G433" s="2" t="s">
        <v>39</v>
      </c>
      <c r="H433" s="2" t="s">
        <v>40</v>
      </c>
      <c r="I433" s="2" t="s">
        <v>52</v>
      </c>
      <c r="J433" s="2" t="s">
        <v>65</v>
      </c>
      <c r="K433" s="2" t="s">
        <v>100</v>
      </c>
      <c r="L433" s="2" t="s">
        <v>101</v>
      </c>
      <c r="M433" s="2" t="s">
        <v>102</v>
      </c>
      <c r="N433" s="2">
        <v>4.0199999999999996</v>
      </c>
      <c r="O433" s="2">
        <v>514</v>
      </c>
      <c r="P433" s="2">
        <v>3.9</v>
      </c>
      <c r="Q433" s="4">
        <v>19.559999999999999</v>
      </c>
      <c r="R433" s="5">
        <v>1185.92</v>
      </c>
      <c r="S433" s="5">
        <v>23196.6</v>
      </c>
      <c r="T433" s="6">
        <v>3.6900000000000002E-2</v>
      </c>
      <c r="U433" s="5">
        <v>22340.65</v>
      </c>
      <c r="V433" s="5">
        <v>1273.06</v>
      </c>
      <c r="W433" s="6">
        <v>0.1338</v>
      </c>
      <c r="X433" s="5">
        <v>2989.18</v>
      </c>
      <c r="Y433" s="2" t="s">
        <v>56</v>
      </c>
      <c r="Z433" s="2" t="s">
        <v>89</v>
      </c>
      <c r="AA433" s="2" t="s">
        <v>35</v>
      </c>
    </row>
    <row r="434" spans="1:27">
      <c r="A434" s="2" t="s">
        <v>559</v>
      </c>
      <c r="B434" s="3">
        <v>45881</v>
      </c>
      <c r="C434" s="2">
        <v>2025</v>
      </c>
      <c r="D434" s="2" t="s">
        <v>27</v>
      </c>
      <c r="E434" s="2" t="s">
        <v>28</v>
      </c>
      <c r="F434" s="2" t="s">
        <v>61</v>
      </c>
      <c r="G434" s="2" t="s">
        <v>62</v>
      </c>
      <c r="H434" s="2" t="s">
        <v>31</v>
      </c>
      <c r="I434" s="2" t="s">
        <v>88</v>
      </c>
      <c r="J434" s="2" t="s">
        <v>53</v>
      </c>
      <c r="K434" s="2" t="s">
        <v>54</v>
      </c>
      <c r="L434" s="2" t="s">
        <v>54</v>
      </c>
      <c r="M434" s="2" t="s">
        <v>162</v>
      </c>
      <c r="N434" s="2">
        <v>74.64</v>
      </c>
      <c r="O434" s="2">
        <v>1564</v>
      </c>
      <c r="P434" s="2">
        <v>10.4</v>
      </c>
      <c r="Q434" s="4">
        <v>114.21</v>
      </c>
      <c r="R434" s="5">
        <v>1315.42</v>
      </c>
      <c r="S434" s="5">
        <v>150234.12</v>
      </c>
      <c r="T434" s="6">
        <v>5.8700000000000002E-2</v>
      </c>
      <c r="U434" s="5">
        <v>141415.38</v>
      </c>
      <c r="V434" s="5">
        <v>8354.64</v>
      </c>
      <c r="W434" s="6">
        <v>0.19439999999999999</v>
      </c>
      <c r="X434" s="5">
        <v>27491.15</v>
      </c>
      <c r="Y434" s="2" t="s">
        <v>83</v>
      </c>
      <c r="Z434" s="2" t="s">
        <v>80</v>
      </c>
      <c r="AA434" s="2" t="s">
        <v>35</v>
      </c>
    </row>
    <row r="435" spans="1:27">
      <c r="A435" s="2" t="s">
        <v>560</v>
      </c>
      <c r="B435" s="3">
        <v>45829</v>
      </c>
      <c r="C435" s="2">
        <v>2025</v>
      </c>
      <c r="D435" s="2" t="s">
        <v>91</v>
      </c>
      <c r="E435" s="2" t="s">
        <v>49</v>
      </c>
      <c r="F435" s="2" t="s">
        <v>29</v>
      </c>
      <c r="G435" s="2" t="s">
        <v>78</v>
      </c>
      <c r="H435" s="2" t="s">
        <v>40</v>
      </c>
      <c r="I435" s="2" t="s">
        <v>88</v>
      </c>
      <c r="J435" s="2" t="s">
        <v>79</v>
      </c>
      <c r="K435" s="2" t="s">
        <v>43</v>
      </c>
      <c r="L435" s="2" t="s">
        <v>44</v>
      </c>
      <c r="M435" s="2" t="s">
        <v>45</v>
      </c>
      <c r="N435" s="2">
        <v>23.94</v>
      </c>
      <c r="O435" s="2">
        <v>39</v>
      </c>
      <c r="P435" s="2">
        <v>6.4</v>
      </c>
      <c r="Q435" s="4">
        <v>127.99</v>
      </c>
      <c r="R435" s="5">
        <v>791.18</v>
      </c>
      <c r="S435" s="5">
        <v>101263.13</v>
      </c>
      <c r="T435" s="6">
        <v>4.1200000000000001E-2</v>
      </c>
      <c r="U435" s="5">
        <v>97091.09</v>
      </c>
      <c r="V435" s="5">
        <v>7024.58</v>
      </c>
      <c r="W435" s="6">
        <v>0.15720000000000001</v>
      </c>
      <c r="X435" s="5">
        <v>15262.72</v>
      </c>
      <c r="Y435" s="2" t="s">
        <v>69</v>
      </c>
      <c r="Z435" s="2" t="s">
        <v>80</v>
      </c>
      <c r="AA435" s="2" t="s">
        <v>35</v>
      </c>
    </row>
    <row r="436" spans="1:27">
      <c r="A436" s="2" t="s">
        <v>561</v>
      </c>
      <c r="B436" s="3">
        <v>45878</v>
      </c>
      <c r="C436" s="2">
        <v>2025</v>
      </c>
      <c r="D436" s="2" t="s">
        <v>27</v>
      </c>
      <c r="E436" s="2" t="s">
        <v>28</v>
      </c>
      <c r="F436" s="2" t="s">
        <v>61</v>
      </c>
      <c r="G436" s="2" t="s">
        <v>62</v>
      </c>
      <c r="H436" s="2" t="s">
        <v>40</v>
      </c>
      <c r="I436" s="2" t="s">
        <v>52</v>
      </c>
      <c r="J436" s="2" t="s">
        <v>65</v>
      </c>
      <c r="K436" s="2" t="s">
        <v>54</v>
      </c>
      <c r="L436" s="2" t="s">
        <v>54</v>
      </c>
      <c r="M436" s="2" t="s">
        <v>55</v>
      </c>
      <c r="N436" s="2">
        <v>15.76</v>
      </c>
      <c r="O436" s="2">
        <v>2759</v>
      </c>
      <c r="P436" s="2">
        <v>10.9</v>
      </c>
      <c r="Q436" s="4">
        <v>121.84</v>
      </c>
      <c r="R436" s="5">
        <v>1141.49</v>
      </c>
      <c r="S436" s="5">
        <v>139079.14000000001</v>
      </c>
      <c r="T436" s="6">
        <v>6.1600000000000002E-2</v>
      </c>
      <c r="U436" s="5">
        <v>130511.86</v>
      </c>
      <c r="V436" s="5">
        <v>10810.87</v>
      </c>
      <c r="W436" s="6">
        <v>0.14449999999999999</v>
      </c>
      <c r="X436" s="5">
        <v>18858.96</v>
      </c>
      <c r="Y436" s="2" t="s">
        <v>69</v>
      </c>
      <c r="Z436" s="2" t="s">
        <v>34</v>
      </c>
      <c r="AA436" s="2" t="s">
        <v>35</v>
      </c>
    </row>
    <row r="437" spans="1:27">
      <c r="A437" s="2" t="s">
        <v>562</v>
      </c>
      <c r="B437" s="3">
        <v>45471</v>
      </c>
      <c r="C437" s="2">
        <v>2024</v>
      </c>
      <c r="D437" s="2" t="s">
        <v>91</v>
      </c>
      <c r="E437" s="2" t="s">
        <v>49</v>
      </c>
      <c r="F437" s="2" t="s">
        <v>118</v>
      </c>
      <c r="G437" s="2" t="s">
        <v>121</v>
      </c>
      <c r="H437" s="2" t="s">
        <v>73</v>
      </c>
      <c r="I437" s="2" t="s">
        <v>88</v>
      </c>
      <c r="J437" s="2" t="s">
        <v>53</v>
      </c>
      <c r="K437" s="2" t="s">
        <v>54</v>
      </c>
      <c r="L437" s="2" t="s">
        <v>54</v>
      </c>
      <c r="M437" s="2" t="s">
        <v>94</v>
      </c>
      <c r="N437" s="2">
        <v>71.11</v>
      </c>
      <c r="O437" s="2">
        <v>1325</v>
      </c>
      <c r="P437" s="2">
        <v>5.7</v>
      </c>
      <c r="Q437" s="4">
        <v>58.05</v>
      </c>
      <c r="R437" s="5">
        <v>1147.1199999999999</v>
      </c>
      <c r="S437" s="5">
        <v>66590.320000000007</v>
      </c>
      <c r="T437" s="6">
        <v>5.2299999999999999E-2</v>
      </c>
      <c r="U437" s="5">
        <v>63107.65</v>
      </c>
      <c r="V437" s="5">
        <v>1824.84</v>
      </c>
      <c r="W437" s="6">
        <v>0.25509999999999999</v>
      </c>
      <c r="X437" s="5">
        <v>16098.76</v>
      </c>
      <c r="Y437" s="2" t="s">
        <v>83</v>
      </c>
      <c r="Z437" s="2" t="s">
        <v>57</v>
      </c>
      <c r="AA437" s="2" t="s">
        <v>35</v>
      </c>
    </row>
    <row r="438" spans="1:27">
      <c r="A438" s="2" t="s">
        <v>563</v>
      </c>
      <c r="B438" s="3">
        <v>45549</v>
      </c>
      <c r="C438" s="2">
        <v>2024</v>
      </c>
      <c r="D438" s="2" t="s">
        <v>37</v>
      </c>
      <c r="E438" s="2" t="s">
        <v>28</v>
      </c>
      <c r="F438" s="2" t="s">
        <v>50</v>
      </c>
      <c r="G438" s="2" t="s">
        <v>51</v>
      </c>
      <c r="H438" s="2" t="s">
        <v>63</v>
      </c>
      <c r="I438" s="2" t="s">
        <v>74</v>
      </c>
      <c r="J438" s="2" t="s">
        <v>42</v>
      </c>
      <c r="K438" s="2" t="s">
        <v>100</v>
      </c>
      <c r="L438" s="2" t="s">
        <v>101</v>
      </c>
      <c r="M438" s="2" t="s">
        <v>108</v>
      </c>
      <c r="N438" s="2">
        <v>5.67</v>
      </c>
      <c r="O438" s="2">
        <v>105</v>
      </c>
      <c r="P438" s="2">
        <v>5.0999999999999996</v>
      </c>
      <c r="Q438" s="4">
        <v>110.85</v>
      </c>
      <c r="R438" s="5">
        <v>1126.3699999999999</v>
      </c>
      <c r="S438" s="5">
        <v>124858.11</v>
      </c>
      <c r="T438" s="6">
        <v>5.5E-2</v>
      </c>
      <c r="U438" s="5">
        <v>117990.91</v>
      </c>
      <c r="V438" s="5">
        <v>3177.08</v>
      </c>
      <c r="W438" s="6">
        <v>0.2462</v>
      </c>
      <c r="X438" s="5">
        <v>29049.360000000001</v>
      </c>
      <c r="Y438" s="2" t="s">
        <v>83</v>
      </c>
      <c r="Z438" s="2" t="s">
        <v>125</v>
      </c>
      <c r="AA438" s="2" t="s">
        <v>35</v>
      </c>
    </row>
    <row r="439" spans="1:27">
      <c r="A439" s="2" t="s">
        <v>564</v>
      </c>
      <c r="B439" s="3">
        <v>45552</v>
      </c>
      <c r="C439" s="2">
        <v>2024</v>
      </c>
      <c r="D439" s="2" t="s">
        <v>37</v>
      </c>
      <c r="E439" s="2" t="s">
        <v>28</v>
      </c>
      <c r="F439" s="2" t="s">
        <v>29</v>
      </c>
      <c r="G439" s="2" t="s">
        <v>95</v>
      </c>
      <c r="H439" s="2" t="s">
        <v>31</v>
      </c>
      <c r="I439" s="2" t="s">
        <v>74</v>
      </c>
      <c r="J439" s="2" t="s">
        <v>65</v>
      </c>
      <c r="K439" s="2" t="s">
        <v>54</v>
      </c>
      <c r="L439" s="2" t="s">
        <v>54</v>
      </c>
      <c r="M439" s="2" t="s">
        <v>162</v>
      </c>
      <c r="N439" s="2">
        <v>7.29</v>
      </c>
      <c r="O439" s="2">
        <v>1543</v>
      </c>
      <c r="P439" s="2">
        <v>5.4</v>
      </c>
      <c r="Q439" s="4">
        <v>9.33</v>
      </c>
      <c r="R439" s="5">
        <v>1148.8</v>
      </c>
      <c r="S439" s="5">
        <v>10718.3</v>
      </c>
      <c r="T439" s="6">
        <v>4.3799999999999999E-2</v>
      </c>
      <c r="U439" s="5">
        <v>10248.84</v>
      </c>
      <c r="V439" s="5">
        <v>681.48</v>
      </c>
      <c r="W439" s="6">
        <v>0.15090000000000001</v>
      </c>
      <c r="X439" s="5">
        <v>1546.55</v>
      </c>
      <c r="Y439" s="2" t="s">
        <v>83</v>
      </c>
      <c r="Z439" s="2" t="s">
        <v>80</v>
      </c>
      <c r="AA439" s="2" t="s">
        <v>35</v>
      </c>
    </row>
    <row r="440" spans="1:27">
      <c r="A440" s="2" t="s">
        <v>565</v>
      </c>
      <c r="B440" s="3">
        <v>45360</v>
      </c>
      <c r="C440" s="2">
        <v>2024</v>
      </c>
      <c r="D440" s="2" t="s">
        <v>59</v>
      </c>
      <c r="E440" s="2" t="s">
        <v>60</v>
      </c>
      <c r="F440" s="2" t="s">
        <v>118</v>
      </c>
      <c r="G440" s="2" t="s">
        <v>119</v>
      </c>
      <c r="H440" s="2" t="s">
        <v>73</v>
      </c>
      <c r="I440" s="2" t="s">
        <v>32</v>
      </c>
      <c r="J440" s="2" t="s">
        <v>42</v>
      </c>
      <c r="K440" s="2" t="s">
        <v>43</v>
      </c>
      <c r="L440" s="2" t="s">
        <v>44</v>
      </c>
      <c r="M440" s="2" t="s">
        <v>124</v>
      </c>
      <c r="N440" s="2">
        <v>12.98</v>
      </c>
      <c r="O440" s="2">
        <v>24</v>
      </c>
      <c r="P440" s="2">
        <v>5</v>
      </c>
      <c r="Q440" s="4">
        <v>469.49</v>
      </c>
      <c r="R440" s="5">
        <v>671.8</v>
      </c>
      <c r="S440" s="5">
        <v>315403.38</v>
      </c>
      <c r="T440" s="6">
        <v>2.9700000000000001E-2</v>
      </c>
      <c r="U440" s="5">
        <v>306035.90000000002</v>
      </c>
      <c r="V440" s="5">
        <v>19639.63</v>
      </c>
      <c r="W440" s="6">
        <v>0.1812</v>
      </c>
      <c r="X440" s="5">
        <v>55453.71</v>
      </c>
      <c r="Y440" s="2" t="s">
        <v>56</v>
      </c>
      <c r="Z440" s="2" t="s">
        <v>34</v>
      </c>
      <c r="AA440" s="2" t="s">
        <v>35</v>
      </c>
    </row>
    <row r="441" spans="1:27">
      <c r="A441" s="2" t="s">
        <v>566</v>
      </c>
      <c r="B441" s="3">
        <v>45488</v>
      </c>
      <c r="C441" s="2">
        <v>2024</v>
      </c>
      <c r="D441" s="2" t="s">
        <v>104</v>
      </c>
      <c r="E441" s="2" t="s">
        <v>28</v>
      </c>
      <c r="F441" s="2" t="s">
        <v>86</v>
      </c>
      <c r="G441" s="2" t="s">
        <v>117</v>
      </c>
      <c r="H441" s="2" t="s">
        <v>40</v>
      </c>
      <c r="I441" s="2" t="s">
        <v>88</v>
      </c>
      <c r="J441" s="2" t="s">
        <v>65</v>
      </c>
      <c r="K441" s="2" t="s">
        <v>66</v>
      </c>
      <c r="L441" s="2" t="s">
        <v>67</v>
      </c>
      <c r="M441" s="2" t="s">
        <v>122</v>
      </c>
      <c r="N441" s="2">
        <v>17.84</v>
      </c>
      <c r="O441" s="2">
        <v>338</v>
      </c>
      <c r="P441" s="2">
        <v>11.4</v>
      </c>
      <c r="Q441" s="4">
        <v>232.75</v>
      </c>
      <c r="R441" s="5">
        <v>1423.58</v>
      </c>
      <c r="S441" s="5">
        <v>331338.23999999999</v>
      </c>
      <c r="T441" s="6">
        <v>5.8000000000000003E-2</v>
      </c>
      <c r="U441" s="5">
        <v>312120.62</v>
      </c>
      <c r="V441" s="5">
        <v>12633.77</v>
      </c>
      <c r="W441" s="6">
        <v>0.28470000000000001</v>
      </c>
      <c r="X441" s="5">
        <v>88860.74</v>
      </c>
      <c r="Y441" s="2" t="s">
        <v>75</v>
      </c>
      <c r="Z441" s="2" t="s">
        <v>106</v>
      </c>
      <c r="AA441" s="2" t="s">
        <v>35</v>
      </c>
    </row>
    <row r="442" spans="1:27">
      <c r="A442" s="2" t="s">
        <v>567</v>
      </c>
      <c r="B442" s="3">
        <v>45814</v>
      </c>
      <c r="C442" s="2">
        <v>2025</v>
      </c>
      <c r="D442" s="2" t="s">
        <v>91</v>
      </c>
      <c r="E442" s="2" t="s">
        <v>49</v>
      </c>
      <c r="F442" s="2" t="s">
        <v>38</v>
      </c>
      <c r="G442" s="2" t="s">
        <v>72</v>
      </c>
      <c r="H442" s="2" t="s">
        <v>63</v>
      </c>
      <c r="I442" s="2" t="s">
        <v>88</v>
      </c>
      <c r="J442" s="2" t="s">
        <v>42</v>
      </c>
      <c r="K442" s="2" t="s">
        <v>100</v>
      </c>
      <c r="L442" s="2" t="s">
        <v>101</v>
      </c>
      <c r="M442" s="2" t="s">
        <v>108</v>
      </c>
      <c r="N442" s="2">
        <v>7.05</v>
      </c>
      <c r="O442" s="2">
        <v>254</v>
      </c>
      <c r="P442" s="2">
        <v>11.8</v>
      </c>
      <c r="Q442" s="4">
        <v>204.68</v>
      </c>
      <c r="R442" s="5">
        <v>1287.8</v>
      </c>
      <c r="S442" s="5">
        <v>263586.90000000002</v>
      </c>
      <c r="T442" s="6">
        <v>1.2999999999999999E-2</v>
      </c>
      <c r="U442" s="5">
        <v>260160.27</v>
      </c>
      <c r="V442" s="5">
        <v>7002.32</v>
      </c>
      <c r="W442" s="6">
        <v>0.21679999999999999</v>
      </c>
      <c r="X442" s="5">
        <v>56402.75</v>
      </c>
      <c r="Y442" s="2" t="s">
        <v>83</v>
      </c>
      <c r="Z442" s="2" t="s">
        <v>34</v>
      </c>
      <c r="AA442" s="2" t="s">
        <v>35</v>
      </c>
    </row>
    <row r="443" spans="1:27">
      <c r="A443" s="2" t="s">
        <v>568</v>
      </c>
      <c r="B443" s="3">
        <v>45316</v>
      </c>
      <c r="C443" s="2">
        <v>2024</v>
      </c>
      <c r="D443" s="2" t="s">
        <v>71</v>
      </c>
      <c r="E443" s="2" t="s">
        <v>60</v>
      </c>
      <c r="F443" s="2" t="s">
        <v>50</v>
      </c>
      <c r="G443" s="2" t="s">
        <v>92</v>
      </c>
      <c r="H443" s="2" t="s">
        <v>63</v>
      </c>
      <c r="I443" s="2" t="s">
        <v>41</v>
      </c>
      <c r="J443" s="2" t="s">
        <v>79</v>
      </c>
      <c r="K443" s="2" t="s">
        <v>43</v>
      </c>
      <c r="L443" s="2" t="s">
        <v>44</v>
      </c>
      <c r="M443" s="2" t="s">
        <v>45</v>
      </c>
      <c r="N443" s="2">
        <v>32.22</v>
      </c>
      <c r="O443" s="2">
        <v>20</v>
      </c>
      <c r="P443" s="2">
        <v>8.1999999999999993</v>
      </c>
      <c r="Q443" s="4">
        <v>106.35</v>
      </c>
      <c r="R443" s="5">
        <v>702.18</v>
      </c>
      <c r="S443" s="5">
        <v>74676.84</v>
      </c>
      <c r="T443" s="6">
        <v>2.5899999999999999E-2</v>
      </c>
      <c r="U443" s="5">
        <v>72742.710000000006</v>
      </c>
      <c r="V443" s="5">
        <v>3084.01</v>
      </c>
      <c r="W443" s="6">
        <v>0.15740000000000001</v>
      </c>
      <c r="X443" s="5">
        <v>11449.7</v>
      </c>
      <c r="Y443" s="2" t="s">
        <v>33</v>
      </c>
      <c r="Z443" s="2" t="s">
        <v>34</v>
      </c>
      <c r="AA443" s="2" t="s">
        <v>35</v>
      </c>
    </row>
    <row r="444" spans="1:27">
      <c r="A444" s="2" t="s">
        <v>569</v>
      </c>
      <c r="B444" s="3">
        <v>45960</v>
      </c>
      <c r="C444" s="2">
        <v>2025</v>
      </c>
      <c r="D444" s="2" t="s">
        <v>110</v>
      </c>
      <c r="E444" s="2" t="s">
        <v>77</v>
      </c>
      <c r="F444" s="2" t="s">
        <v>50</v>
      </c>
      <c r="G444" s="2" t="s">
        <v>115</v>
      </c>
      <c r="H444" s="2" t="s">
        <v>63</v>
      </c>
      <c r="I444" s="2" t="s">
        <v>32</v>
      </c>
      <c r="J444" s="2" t="s">
        <v>79</v>
      </c>
      <c r="K444" s="2" t="s">
        <v>100</v>
      </c>
      <c r="L444" s="2" t="s">
        <v>101</v>
      </c>
      <c r="M444" s="2" t="s">
        <v>102</v>
      </c>
      <c r="N444" s="2">
        <v>14.71</v>
      </c>
      <c r="O444" s="2">
        <v>578</v>
      </c>
      <c r="P444" s="2">
        <v>11.8</v>
      </c>
      <c r="Q444" s="4">
        <v>168.87</v>
      </c>
      <c r="R444" s="5">
        <v>1140.51</v>
      </c>
      <c r="S444" s="5">
        <v>192597.92</v>
      </c>
      <c r="T444" s="6">
        <v>3.9300000000000002E-2</v>
      </c>
      <c r="U444" s="5">
        <v>185028.82</v>
      </c>
      <c r="V444" s="5">
        <v>4060.58</v>
      </c>
      <c r="W444" s="6">
        <v>0.24429999999999999</v>
      </c>
      <c r="X444" s="5">
        <v>45202.54</v>
      </c>
      <c r="Y444" s="2" t="s">
        <v>75</v>
      </c>
      <c r="Z444" s="2" t="s">
        <v>89</v>
      </c>
      <c r="AA444" s="2" t="s">
        <v>35</v>
      </c>
    </row>
    <row r="445" spans="1:27">
      <c r="A445" s="2" t="s">
        <v>570</v>
      </c>
      <c r="B445" s="3">
        <v>45703</v>
      </c>
      <c r="C445" s="2">
        <v>2025</v>
      </c>
      <c r="D445" s="2" t="s">
        <v>113</v>
      </c>
      <c r="E445" s="2" t="s">
        <v>60</v>
      </c>
      <c r="F445" s="2" t="s">
        <v>98</v>
      </c>
      <c r="G445" s="2" t="s">
        <v>135</v>
      </c>
      <c r="H445" s="2" t="s">
        <v>40</v>
      </c>
      <c r="I445" s="2" t="s">
        <v>41</v>
      </c>
      <c r="J445" s="2" t="s">
        <v>65</v>
      </c>
      <c r="K445" s="2" t="s">
        <v>100</v>
      </c>
      <c r="L445" s="2" t="s">
        <v>101</v>
      </c>
      <c r="M445" s="2" t="s">
        <v>108</v>
      </c>
      <c r="N445" s="2">
        <v>15.88</v>
      </c>
      <c r="O445" s="2">
        <v>597</v>
      </c>
      <c r="P445" s="2">
        <v>4.5</v>
      </c>
      <c r="Q445" s="4">
        <v>108.54</v>
      </c>
      <c r="R445" s="5">
        <v>1060.29</v>
      </c>
      <c r="S445" s="5">
        <v>115083.88</v>
      </c>
      <c r="T445" s="6">
        <v>3.09E-2</v>
      </c>
      <c r="U445" s="5">
        <v>111527.79</v>
      </c>
      <c r="V445" s="5">
        <v>6707.32</v>
      </c>
      <c r="W445" s="6">
        <v>0.1961</v>
      </c>
      <c r="X445" s="5">
        <v>21870.6</v>
      </c>
      <c r="Y445" s="2" t="s">
        <v>75</v>
      </c>
      <c r="Z445" s="2" t="s">
        <v>46</v>
      </c>
      <c r="AA445" s="2" t="s">
        <v>35</v>
      </c>
    </row>
    <row r="446" spans="1:27">
      <c r="A446" s="2" t="s">
        <v>571</v>
      </c>
      <c r="B446" s="3">
        <v>45850</v>
      </c>
      <c r="C446" s="2">
        <v>2025</v>
      </c>
      <c r="D446" s="2" t="s">
        <v>104</v>
      </c>
      <c r="E446" s="2" t="s">
        <v>28</v>
      </c>
      <c r="F446" s="2" t="s">
        <v>29</v>
      </c>
      <c r="G446" s="2" t="s">
        <v>78</v>
      </c>
      <c r="H446" s="2" t="s">
        <v>31</v>
      </c>
      <c r="I446" s="2" t="s">
        <v>74</v>
      </c>
      <c r="J446" s="2" t="s">
        <v>79</v>
      </c>
      <c r="K446" s="2" t="s">
        <v>100</v>
      </c>
      <c r="L446" s="2" t="s">
        <v>101</v>
      </c>
      <c r="M446" s="2" t="s">
        <v>145</v>
      </c>
      <c r="N446" s="2">
        <v>2.69</v>
      </c>
      <c r="O446" s="2">
        <v>362</v>
      </c>
      <c r="P446" s="2">
        <v>8.6999999999999993</v>
      </c>
      <c r="Q446" s="4">
        <v>116.18</v>
      </c>
      <c r="R446" s="5">
        <v>1096.8900000000001</v>
      </c>
      <c r="S446" s="5">
        <v>127436.68</v>
      </c>
      <c r="T446" s="6">
        <v>3.3799999999999997E-2</v>
      </c>
      <c r="U446" s="5">
        <v>123129.32</v>
      </c>
      <c r="V446" s="5">
        <v>7559.67</v>
      </c>
      <c r="W446" s="6">
        <v>0.1762</v>
      </c>
      <c r="X446" s="5">
        <v>21695.39</v>
      </c>
      <c r="Y446" s="2" t="s">
        <v>83</v>
      </c>
      <c r="Z446" s="2" t="s">
        <v>125</v>
      </c>
      <c r="AA446" s="2" t="s">
        <v>35</v>
      </c>
    </row>
    <row r="447" spans="1:27">
      <c r="A447" s="2" t="s">
        <v>572</v>
      </c>
      <c r="B447" s="3">
        <v>45898</v>
      </c>
      <c r="C447" s="2">
        <v>2025</v>
      </c>
      <c r="D447" s="2" t="s">
        <v>27</v>
      </c>
      <c r="E447" s="2" t="s">
        <v>28</v>
      </c>
      <c r="F447" s="2" t="s">
        <v>50</v>
      </c>
      <c r="G447" s="2" t="s">
        <v>115</v>
      </c>
      <c r="H447" s="2" t="s">
        <v>73</v>
      </c>
      <c r="I447" s="2" t="s">
        <v>41</v>
      </c>
      <c r="J447" s="2" t="s">
        <v>42</v>
      </c>
      <c r="K447" s="2" t="s">
        <v>100</v>
      </c>
      <c r="L447" s="2" t="s">
        <v>101</v>
      </c>
      <c r="M447" s="2" t="s">
        <v>129</v>
      </c>
      <c r="N447" s="2">
        <v>2.93</v>
      </c>
      <c r="O447" s="2">
        <v>381</v>
      </c>
      <c r="P447" s="2">
        <v>4</v>
      </c>
      <c r="Q447" s="4">
        <v>61.59</v>
      </c>
      <c r="R447" s="5">
        <v>1239.79</v>
      </c>
      <c r="S447" s="5">
        <v>76358.67</v>
      </c>
      <c r="T447" s="6">
        <v>3.8899999999999997E-2</v>
      </c>
      <c r="U447" s="5">
        <v>73388.320000000007</v>
      </c>
      <c r="V447" s="5">
        <v>2210.35</v>
      </c>
      <c r="W447" s="6">
        <v>0.22720000000000001</v>
      </c>
      <c r="X447" s="5">
        <v>16673.830000000002</v>
      </c>
      <c r="Y447" s="2" t="s">
        <v>33</v>
      </c>
      <c r="Z447" s="2" t="s">
        <v>34</v>
      </c>
      <c r="AA447" s="2" t="s">
        <v>35</v>
      </c>
    </row>
    <row r="448" spans="1:27">
      <c r="A448" s="2" t="s">
        <v>573</v>
      </c>
      <c r="B448" s="3">
        <v>45594</v>
      </c>
      <c r="C448" s="2">
        <v>2024</v>
      </c>
      <c r="D448" s="2" t="s">
        <v>110</v>
      </c>
      <c r="E448" s="2" t="s">
        <v>77</v>
      </c>
      <c r="F448" s="2" t="s">
        <v>61</v>
      </c>
      <c r="G448" s="2" t="s">
        <v>114</v>
      </c>
      <c r="H448" s="2" t="s">
        <v>31</v>
      </c>
      <c r="I448" s="2" t="s">
        <v>52</v>
      </c>
      <c r="J448" s="2" t="s">
        <v>65</v>
      </c>
      <c r="K448" s="2" t="s">
        <v>100</v>
      </c>
      <c r="L448" s="2" t="s">
        <v>101</v>
      </c>
      <c r="M448" s="2" t="s">
        <v>129</v>
      </c>
      <c r="N448" s="2">
        <v>7.99</v>
      </c>
      <c r="O448" s="2">
        <v>167</v>
      </c>
      <c r="P448" s="2">
        <v>7.5</v>
      </c>
      <c r="Q448" s="4">
        <v>83.81</v>
      </c>
      <c r="R448" s="5">
        <v>1228.8499999999999</v>
      </c>
      <c r="S448" s="5">
        <v>102989.92</v>
      </c>
      <c r="T448" s="6">
        <v>5.1299999999999998E-2</v>
      </c>
      <c r="U448" s="5">
        <v>97706.54</v>
      </c>
      <c r="V448" s="5">
        <v>6678.3</v>
      </c>
      <c r="W448" s="6">
        <v>0.18559999999999999</v>
      </c>
      <c r="X448" s="5">
        <v>18134.330000000002</v>
      </c>
      <c r="Y448" s="2" t="s">
        <v>33</v>
      </c>
      <c r="Z448" s="2" t="s">
        <v>57</v>
      </c>
      <c r="AA448" s="2" t="s">
        <v>35</v>
      </c>
    </row>
    <row r="449" spans="1:27">
      <c r="A449" s="2" t="s">
        <v>574</v>
      </c>
      <c r="B449" s="3">
        <v>45302</v>
      </c>
      <c r="C449" s="2">
        <v>2024</v>
      </c>
      <c r="D449" s="2" t="s">
        <v>71</v>
      </c>
      <c r="E449" s="2" t="s">
        <v>60</v>
      </c>
      <c r="F449" s="2" t="s">
        <v>61</v>
      </c>
      <c r="G449" s="2" t="s">
        <v>114</v>
      </c>
      <c r="H449" s="2" t="s">
        <v>73</v>
      </c>
      <c r="I449" s="2" t="s">
        <v>64</v>
      </c>
      <c r="J449" s="2" t="s">
        <v>42</v>
      </c>
      <c r="K449" s="2" t="s">
        <v>100</v>
      </c>
      <c r="L449" s="2" t="s">
        <v>101</v>
      </c>
      <c r="M449" s="2" t="s">
        <v>145</v>
      </c>
      <c r="N449" s="2">
        <v>9.82</v>
      </c>
      <c r="O449" s="2">
        <v>451</v>
      </c>
      <c r="P449" s="2">
        <v>10.7</v>
      </c>
      <c r="Q449" s="4">
        <v>81.38</v>
      </c>
      <c r="R449" s="5">
        <v>1155.04</v>
      </c>
      <c r="S449" s="5">
        <v>93997.16</v>
      </c>
      <c r="T449" s="6">
        <v>4.9399999999999999E-2</v>
      </c>
      <c r="U449" s="5">
        <v>89353.7</v>
      </c>
      <c r="V449" s="5">
        <v>1541.01</v>
      </c>
      <c r="W449" s="6">
        <v>0.19070000000000001</v>
      </c>
      <c r="X449" s="5">
        <v>17039.75</v>
      </c>
      <c r="Y449" s="2" t="s">
        <v>69</v>
      </c>
      <c r="Z449" s="2" t="s">
        <v>57</v>
      </c>
      <c r="AA449" s="2" t="s">
        <v>35</v>
      </c>
    </row>
    <row r="450" spans="1:27">
      <c r="A450" s="2" t="s">
        <v>575</v>
      </c>
      <c r="B450" s="3">
        <v>45555</v>
      </c>
      <c r="C450" s="2">
        <v>2024</v>
      </c>
      <c r="D450" s="2" t="s">
        <v>37</v>
      </c>
      <c r="E450" s="2" t="s">
        <v>28</v>
      </c>
      <c r="F450" s="2" t="s">
        <v>50</v>
      </c>
      <c r="G450" s="2" t="s">
        <v>51</v>
      </c>
      <c r="H450" s="2" t="s">
        <v>40</v>
      </c>
      <c r="I450" s="2" t="s">
        <v>41</v>
      </c>
      <c r="J450" s="2" t="s">
        <v>42</v>
      </c>
      <c r="K450" s="2" t="s">
        <v>100</v>
      </c>
      <c r="L450" s="2" t="s">
        <v>101</v>
      </c>
      <c r="M450" s="2" t="s">
        <v>145</v>
      </c>
      <c r="N450" s="2">
        <v>7.44</v>
      </c>
      <c r="O450" s="2">
        <v>295</v>
      </c>
      <c r="P450" s="2">
        <v>5.0999999999999996</v>
      </c>
      <c r="Q450" s="4">
        <v>221.81</v>
      </c>
      <c r="R450" s="5">
        <v>1188.08</v>
      </c>
      <c r="S450" s="5">
        <v>263528.02</v>
      </c>
      <c r="T450" s="6">
        <v>5.2999999999999999E-2</v>
      </c>
      <c r="U450" s="5">
        <v>249561.03</v>
      </c>
      <c r="V450" s="5">
        <v>20185.03</v>
      </c>
      <c r="W450" s="6">
        <v>0.1787</v>
      </c>
      <c r="X450" s="5">
        <v>44596.56</v>
      </c>
      <c r="Y450" s="2" t="s">
        <v>75</v>
      </c>
      <c r="Z450" s="2" t="s">
        <v>34</v>
      </c>
      <c r="AA450" s="2" t="s">
        <v>35</v>
      </c>
    </row>
    <row r="451" spans="1:27">
      <c r="A451" s="2" t="s">
        <v>576</v>
      </c>
      <c r="B451" s="3">
        <v>45420</v>
      </c>
      <c r="C451" s="2">
        <v>2024</v>
      </c>
      <c r="D451" s="2" t="s">
        <v>81</v>
      </c>
      <c r="E451" s="2" t="s">
        <v>49</v>
      </c>
      <c r="F451" s="2" t="s">
        <v>50</v>
      </c>
      <c r="G451" s="2" t="s">
        <v>92</v>
      </c>
      <c r="H451" s="2" t="s">
        <v>73</v>
      </c>
      <c r="I451" s="2" t="s">
        <v>64</v>
      </c>
      <c r="J451" s="2" t="s">
        <v>53</v>
      </c>
      <c r="K451" s="2" t="s">
        <v>54</v>
      </c>
      <c r="L451" s="2" t="s">
        <v>54</v>
      </c>
      <c r="M451" s="2" t="s">
        <v>162</v>
      </c>
      <c r="N451" s="2">
        <v>49.86</v>
      </c>
      <c r="O451" s="2">
        <v>1687</v>
      </c>
      <c r="P451" s="2">
        <v>7.9</v>
      </c>
      <c r="Q451" s="4">
        <v>102.4</v>
      </c>
      <c r="R451" s="5">
        <v>1217.1300000000001</v>
      </c>
      <c r="S451" s="5">
        <v>124634.11</v>
      </c>
      <c r="T451" s="6">
        <v>3.49E-2</v>
      </c>
      <c r="U451" s="5">
        <v>120284.38</v>
      </c>
      <c r="V451" s="5">
        <v>3440.43</v>
      </c>
      <c r="W451" s="6">
        <v>0.1767</v>
      </c>
      <c r="X451" s="5">
        <v>21254.25</v>
      </c>
      <c r="Y451" s="2" t="s">
        <v>75</v>
      </c>
      <c r="Z451" s="2" t="s">
        <v>34</v>
      </c>
      <c r="AA451" s="2" t="s">
        <v>35</v>
      </c>
    </row>
    <row r="452" spans="1:27">
      <c r="A452" s="2" t="s">
        <v>577</v>
      </c>
      <c r="B452" s="3">
        <v>45801</v>
      </c>
      <c r="C452" s="2">
        <v>2025</v>
      </c>
      <c r="D452" s="2" t="s">
        <v>81</v>
      </c>
      <c r="E452" s="2" t="s">
        <v>49</v>
      </c>
      <c r="F452" s="2" t="s">
        <v>61</v>
      </c>
      <c r="G452" s="2" t="s">
        <v>132</v>
      </c>
      <c r="H452" s="2" t="s">
        <v>40</v>
      </c>
      <c r="I452" s="2" t="s">
        <v>32</v>
      </c>
      <c r="J452" s="2" t="s">
        <v>65</v>
      </c>
      <c r="K452" s="2" t="s">
        <v>66</v>
      </c>
      <c r="L452" s="2" t="s">
        <v>67</v>
      </c>
      <c r="M452" s="2" t="s">
        <v>122</v>
      </c>
      <c r="N452" s="2">
        <v>16.760000000000002</v>
      </c>
      <c r="O452" s="2">
        <v>256</v>
      </c>
      <c r="P452" s="2">
        <v>7.8</v>
      </c>
      <c r="Q452" s="4">
        <v>142.79</v>
      </c>
      <c r="R452" s="5">
        <v>1663.64</v>
      </c>
      <c r="S452" s="5">
        <v>237551.16</v>
      </c>
      <c r="T452" s="6">
        <v>5.5599999999999997E-2</v>
      </c>
      <c r="U452" s="5">
        <v>224343.32</v>
      </c>
      <c r="V452" s="5">
        <v>10367.89</v>
      </c>
      <c r="W452" s="6">
        <v>0.1784</v>
      </c>
      <c r="X452" s="5">
        <v>40022.85</v>
      </c>
      <c r="Y452" s="2" t="s">
        <v>69</v>
      </c>
      <c r="Z452" s="2" t="s">
        <v>125</v>
      </c>
      <c r="AA452" s="2" t="s">
        <v>35</v>
      </c>
    </row>
    <row r="453" spans="1:27">
      <c r="A453" s="2" t="s">
        <v>578</v>
      </c>
      <c r="B453" s="3">
        <v>45995</v>
      </c>
      <c r="C453" s="2">
        <v>2025</v>
      </c>
      <c r="D453" s="2" t="s">
        <v>97</v>
      </c>
      <c r="E453" s="2" t="s">
        <v>77</v>
      </c>
      <c r="F453" s="2" t="s">
        <v>29</v>
      </c>
      <c r="G453" s="2" t="s">
        <v>30</v>
      </c>
      <c r="H453" s="2" t="s">
        <v>73</v>
      </c>
      <c r="I453" s="2" t="s">
        <v>93</v>
      </c>
      <c r="J453" s="2" t="s">
        <v>53</v>
      </c>
      <c r="K453" s="2" t="s">
        <v>54</v>
      </c>
      <c r="L453" s="2" t="s">
        <v>54</v>
      </c>
      <c r="M453" s="2" t="s">
        <v>55</v>
      </c>
      <c r="N453" s="2">
        <v>19.989999999999998</v>
      </c>
      <c r="O453" s="2">
        <v>1995</v>
      </c>
      <c r="P453" s="2">
        <v>7.6</v>
      </c>
      <c r="Q453" s="4">
        <v>120.79</v>
      </c>
      <c r="R453" s="5">
        <v>1218.49</v>
      </c>
      <c r="S453" s="5">
        <v>147181.41</v>
      </c>
      <c r="T453" s="6">
        <v>2.3599999999999999E-2</v>
      </c>
      <c r="U453" s="5">
        <v>143707.93</v>
      </c>
      <c r="V453" s="5">
        <v>3783.67</v>
      </c>
      <c r="W453" s="6">
        <v>0.26929999999999998</v>
      </c>
      <c r="X453" s="5">
        <v>38700.550000000003</v>
      </c>
      <c r="Y453" s="2" t="s">
        <v>75</v>
      </c>
      <c r="Z453" s="2" t="s">
        <v>106</v>
      </c>
      <c r="AA453" s="2" t="s">
        <v>35</v>
      </c>
    </row>
    <row r="454" spans="1:27">
      <c r="A454" s="2" t="s">
        <v>579</v>
      </c>
      <c r="B454" s="3">
        <v>45907</v>
      </c>
      <c r="C454" s="2">
        <v>2025</v>
      </c>
      <c r="D454" s="2" t="s">
        <v>37</v>
      </c>
      <c r="E454" s="2" t="s">
        <v>28</v>
      </c>
      <c r="F454" s="2" t="s">
        <v>98</v>
      </c>
      <c r="G454" s="2" t="s">
        <v>111</v>
      </c>
      <c r="H454" s="2" t="s">
        <v>63</v>
      </c>
      <c r="I454" s="2" t="s">
        <v>32</v>
      </c>
      <c r="J454" s="2" t="s">
        <v>65</v>
      </c>
      <c r="K454" s="2" t="s">
        <v>66</v>
      </c>
      <c r="L454" s="2" t="s">
        <v>67</v>
      </c>
      <c r="M454" s="2" t="s">
        <v>68</v>
      </c>
      <c r="N454" s="2">
        <v>12.23</v>
      </c>
      <c r="O454" s="2">
        <v>264</v>
      </c>
      <c r="P454" s="2">
        <v>12</v>
      </c>
      <c r="Q454" s="4">
        <v>172.48</v>
      </c>
      <c r="R454" s="5">
        <v>1485.75</v>
      </c>
      <c r="S454" s="5">
        <v>256262.16</v>
      </c>
      <c r="T454" s="6">
        <v>5.1999999999999998E-2</v>
      </c>
      <c r="U454" s="5">
        <v>242936.53</v>
      </c>
      <c r="V454" s="5">
        <v>5282.81</v>
      </c>
      <c r="W454" s="6">
        <v>0.21510000000000001</v>
      </c>
      <c r="X454" s="5">
        <v>52255.65</v>
      </c>
      <c r="Y454" s="2" t="s">
        <v>33</v>
      </c>
      <c r="Z454" s="2" t="s">
        <v>70</v>
      </c>
      <c r="AA454" s="2" t="s">
        <v>35</v>
      </c>
    </row>
    <row r="455" spans="1:27">
      <c r="A455" s="2" t="s">
        <v>580</v>
      </c>
      <c r="B455" s="3">
        <v>45539</v>
      </c>
      <c r="C455" s="2">
        <v>2024</v>
      </c>
      <c r="D455" s="2" t="s">
        <v>37</v>
      </c>
      <c r="E455" s="2" t="s">
        <v>28</v>
      </c>
      <c r="F455" s="2" t="s">
        <v>29</v>
      </c>
      <c r="G455" s="2" t="s">
        <v>95</v>
      </c>
      <c r="H455" s="2" t="s">
        <v>40</v>
      </c>
      <c r="I455" s="2" t="s">
        <v>64</v>
      </c>
      <c r="J455" s="2" t="s">
        <v>42</v>
      </c>
      <c r="K455" s="2" t="s">
        <v>100</v>
      </c>
      <c r="L455" s="2" t="s">
        <v>101</v>
      </c>
      <c r="M455" s="2" t="s">
        <v>102</v>
      </c>
      <c r="N455" s="2">
        <v>2.99</v>
      </c>
      <c r="O455" s="2">
        <v>186</v>
      </c>
      <c r="P455" s="2">
        <v>11.6</v>
      </c>
      <c r="Q455" s="4">
        <v>196.41</v>
      </c>
      <c r="R455" s="5">
        <v>1082.75</v>
      </c>
      <c r="S455" s="5">
        <v>212662.93</v>
      </c>
      <c r="T455" s="6">
        <v>2.1700000000000001E-2</v>
      </c>
      <c r="U455" s="5">
        <v>208048.14</v>
      </c>
      <c r="V455" s="5">
        <v>12522.15</v>
      </c>
      <c r="W455" s="6">
        <v>0.2351</v>
      </c>
      <c r="X455" s="5">
        <v>48912.12</v>
      </c>
      <c r="Y455" s="2" t="s">
        <v>75</v>
      </c>
      <c r="Z455" s="2" t="s">
        <v>70</v>
      </c>
      <c r="AA455" s="2" t="s">
        <v>35</v>
      </c>
    </row>
    <row r="456" spans="1:27">
      <c r="A456" s="2" t="s">
        <v>581</v>
      </c>
      <c r="B456" s="3">
        <v>45394</v>
      </c>
      <c r="C456" s="2">
        <v>2024</v>
      </c>
      <c r="D456" s="2" t="s">
        <v>48</v>
      </c>
      <c r="E456" s="2" t="s">
        <v>49</v>
      </c>
      <c r="F456" s="2" t="s">
        <v>118</v>
      </c>
      <c r="G456" s="2" t="s">
        <v>155</v>
      </c>
      <c r="H456" s="2" t="s">
        <v>73</v>
      </c>
      <c r="I456" s="2" t="s">
        <v>41</v>
      </c>
      <c r="J456" s="2" t="s">
        <v>42</v>
      </c>
      <c r="K456" s="2" t="s">
        <v>100</v>
      </c>
      <c r="L456" s="2" t="s">
        <v>101</v>
      </c>
      <c r="M456" s="2" t="s">
        <v>102</v>
      </c>
      <c r="N456" s="2">
        <v>4.59</v>
      </c>
      <c r="O456" s="2">
        <v>211</v>
      </c>
      <c r="P456" s="2">
        <v>3.1</v>
      </c>
      <c r="Q456" s="4">
        <v>60.46</v>
      </c>
      <c r="R456" s="5">
        <v>1204.04</v>
      </c>
      <c r="S456" s="5">
        <v>72796.259999999995</v>
      </c>
      <c r="T456" s="6">
        <v>1.5299999999999999E-2</v>
      </c>
      <c r="U456" s="5">
        <v>71682.48</v>
      </c>
      <c r="V456" s="5">
        <v>1353.89</v>
      </c>
      <c r="W456" s="6">
        <v>0.1391</v>
      </c>
      <c r="X456" s="5">
        <v>9971.0300000000007</v>
      </c>
      <c r="Y456" s="2" t="s">
        <v>33</v>
      </c>
      <c r="Z456" s="2" t="s">
        <v>70</v>
      </c>
      <c r="AA456" s="2" t="s">
        <v>35</v>
      </c>
    </row>
    <row r="457" spans="1:27">
      <c r="A457" s="2" t="s">
        <v>582</v>
      </c>
      <c r="B457" s="3">
        <v>45978</v>
      </c>
      <c r="C457" s="2">
        <v>2025</v>
      </c>
      <c r="D457" s="2" t="s">
        <v>76</v>
      </c>
      <c r="E457" s="2" t="s">
        <v>77</v>
      </c>
      <c r="F457" s="2" t="s">
        <v>38</v>
      </c>
      <c r="G457" s="2" t="s">
        <v>39</v>
      </c>
      <c r="H457" s="2" t="s">
        <v>40</v>
      </c>
      <c r="I457" s="2" t="s">
        <v>74</v>
      </c>
      <c r="J457" s="2" t="s">
        <v>127</v>
      </c>
      <c r="K457" s="2" t="s">
        <v>54</v>
      </c>
      <c r="L457" s="2" t="s">
        <v>54</v>
      </c>
      <c r="M457" s="2" t="s">
        <v>94</v>
      </c>
      <c r="N457" s="2">
        <v>47.39</v>
      </c>
      <c r="O457" s="2">
        <v>3018</v>
      </c>
      <c r="P457" s="2">
        <v>4.2</v>
      </c>
      <c r="Q457" s="4">
        <v>147.13999999999999</v>
      </c>
      <c r="R457" s="5">
        <v>1113.79</v>
      </c>
      <c r="S457" s="5">
        <v>163883.06</v>
      </c>
      <c r="T457" s="6">
        <v>6.0699999999999997E-2</v>
      </c>
      <c r="U457" s="5">
        <v>153935.35999999999</v>
      </c>
      <c r="V457" s="5">
        <v>11461.24</v>
      </c>
      <c r="W457" s="6">
        <v>0.2349</v>
      </c>
      <c r="X457" s="5">
        <v>36159.42</v>
      </c>
      <c r="Y457" s="2" t="s">
        <v>56</v>
      </c>
      <c r="Z457" s="2" t="s">
        <v>70</v>
      </c>
      <c r="AA457" s="2" t="s">
        <v>35</v>
      </c>
    </row>
    <row r="458" spans="1:27">
      <c r="A458" s="2" t="s">
        <v>583</v>
      </c>
      <c r="B458" s="3">
        <v>45864</v>
      </c>
      <c r="C458" s="2">
        <v>2025</v>
      </c>
      <c r="D458" s="2" t="s">
        <v>104</v>
      </c>
      <c r="E458" s="2" t="s">
        <v>28</v>
      </c>
      <c r="F458" s="2" t="s">
        <v>38</v>
      </c>
      <c r="G458" s="2" t="s">
        <v>39</v>
      </c>
      <c r="H458" s="2" t="s">
        <v>31</v>
      </c>
      <c r="I458" s="2" t="s">
        <v>32</v>
      </c>
      <c r="J458" s="2" t="s">
        <v>53</v>
      </c>
      <c r="K458" s="2" t="s">
        <v>54</v>
      </c>
      <c r="L458" s="2" t="s">
        <v>54</v>
      </c>
      <c r="M458" s="2" t="s">
        <v>158</v>
      </c>
      <c r="N458" s="2">
        <v>69</v>
      </c>
      <c r="O458" s="2">
        <v>2161</v>
      </c>
      <c r="P458" s="2">
        <v>4</v>
      </c>
      <c r="Q458" s="4">
        <v>32.549999999999997</v>
      </c>
      <c r="R458" s="5">
        <v>1130.3499999999999</v>
      </c>
      <c r="S458" s="5">
        <v>36792.89</v>
      </c>
      <c r="T458" s="6">
        <v>3.6700000000000003E-2</v>
      </c>
      <c r="U458" s="5">
        <v>35442.589999999997</v>
      </c>
      <c r="V458" s="5">
        <v>2808.93</v>
      </c>
      <c r="W458" s="6">
        <v>0.16200000000000001</v>
      </c>
      <c r="X458" s="5">
        <v>5741.7</v>
      </c>
      <c r="Y458" s="2" t="s">
        <v>75</v>
      </c>
      <c r="Z458" s="2" t="s">
        <v>89</v>
      </c>
      <c r="AA458" s="2" t="s">
        <v>35</v>
      </c>
    </row>
    <row r="459" spans="1:27">
      <c r="A459" s="2" t="s">
        <v>584</v>
      </c>
      <c r="B459" s="3">
        <v>45564</v>
      </c>
      <c r="C459" s="2">
        <v>2024</v>
      </c>
      <c r="D459" s="2" t="s">
        <v>37</v>
      </c>
      <c r="E459" s="2" t="s">
        <v>28</v>
      </c>
      <c r="F459" s="2" t="s">
        <v>86</v>
      </c>
      <c r="G459" s="2" t="s">
        <v>134</v>
      </c>
      <c r="H459" s="2" t="s">
        <v>63</v>
      </c>
      <c r="I459" s="2" t="s">
        <v>74</v>
      </c>
      <c r="J459" s="2" t="s">
        <v>42</v>
      </c>
      <c r="K459" s="2" t="s">
        <v>43</v>
      </c>
      <c r="L459" s="2" t="s">
        <v>44</v>
      </c>
      <c r="M459" s="2" t="s">
        <v>85</v>
      </c>
      <c r="N459" s="2">
        <v>18.88</v>
      </c>
      <c r="O459" s="2">
        <v>18</v>
      </c>
      <c r="P459" s="2">
        <v>5.8</v>
      </c>
      <c r="Q459" s="4">
        <v>243.95</v>
      </c>
      <c r="R459" s="5">
        <v>674.59</v>
      </c>
      <c r="S459" s="5">
        <v>164566.23000000001</v>
      </c>
      <c r="T459" s="6">
        <v>2.9100000000000001E-2</v>
      </c>
      <c r="U459" s="5">
        <v>159777.35</v>
      </c>
      <c r="V459" s="5">
        <v>5316.78</v>
      </c>
      <c r="W459" s="6">
        <v>0.18790000000000001</v>
      </c>
      <c r="X459" s="5">
        <v>30022.16</v>
      </c>
      <c r="Y459" s="2" t="s">
        <v>83</v>
      </c>
      <c r="Z459" s="2" t="s">
        <v>57</v>
      </c>
      <c r="AA459" s="2" t="s">
        <v>35</v>
      </c>
    </row>
    <row r="460" spans="1:27">
      <c r="A460" s="2" t="s">
        <v>585</v>
      </c>
      <c r="B460" s="3">
        <v>45416</v>
      </c>
      <c r="C460" s="2">
        <v>2024</v>
      </c>
      <c r="D460" s="2" t="s">
        <v>81</v>
      </c>
      <c r="E460" s="2" t="s">
        <v>49</v>
      </c>
      <c r="F460" s="2" t="s">
        <v>86</v>
      </c>
      <c r="G460" s="2" t="s">
        <v>134</v>
      </c>
      <c r="H460" s="2" t="s">
        <v>63</v>
      </c>
      <c r="I460" s="2" t="s">
        <v>93</v>
      </c>
      <c r="J460" s="2" t="s">
        <v>127</v>
      </c>
      <c r="K460" s="2" t="s">
        <v>54</v>
      </c>
      <c r="L460" s="2" t="s">
        <v>54</v>
      </c>
      <c r="M460" s="2" t="s">
        <v>55</v>
      </c>
      <c r="N460" s="2">
        <v>11.41</v>
      </c>
      <c r="O460" s="2">
        <v>1424</v>
      </c>
      <c r="P460" s="2">
        <v>3.7</v>
      </c>
      <c r="Q460" s="4">
        <v>106.48</v>
      </c>
      <c r="R460" s="5">
        <v>980.01</v>
      </c>
      <c r="S460" s="5">
        <v>104351.46</v>
      </c>
      <c r="T460" s="6">
        <v>5.1299999999999998E-2</v>
      </c>
      <c r="U460" s="5">
        <v>98998.23</v>
      </c>
      <c r="V460" s="5">
        <v>2001.34</v>
      </c>
      <c r="W460" s="6">
        <v>0.2092</v>
      </c>
      <c r="X460" s="5">
        <v>20710.43</v>
      </c>
      <c r="Y460" s="2" t="s">
        <v>83</v>
      </c>
      <c r="Z460" s="2" t="s">
        <v>57</v>
      </c>
      <c r="AA460" s="2" t="s">
        <v>35</v>
      </c>
    </row>
    <row r="461" spans="1:27">
      <c r="A461" s="2" t="s">
        <v>586</v>
      </c>
      <c r="B461" s="3">
        <v>45608</v>
      </c>
      <c r="C461" s="2">
        <v>2024</v>
      </c>
      <c r="D461" s="2" t="s">
        <v>76</v>
      </c>
      <c r="E461" s="2" t="s">
        <v>77</v>
      </c>
      <c r="F461" s="2" t="s">
        <v>29</v>
      </c>
      <c r="G461" s="2" t="s">
        <v>78</v>
      </c>
      <c r="H461" s="2" t="s">
        <v>31</v>
      </c>
      <c r="I461" s="2" t="s">
        <v>32</v>
      </c>
      <c r="J461" s="2" t="s">
        <v>79</v>
      </c>
      <c r="K461" s="2" t="s">
        <v>100</v>
      </c>
      <c r="L461" s="2" t="s">
        <v>101</v>
      </c>
      <c r="M461" s="2" t="s">
        <v>129</v>
      </c>
      <c r="N461" s="2">
        <v>15.57</v>
      </c>
      <c r="O461" s="2">
        <v>247</v>
      </c>
      <c r="P461" s="2">
        <v>3.1</v>
      </c>
      <c r="Q461" s="4">
        <v>38.36</v>
      </c>
      <c r="R461" s="5">
        <v>1230.56</v>
      </c>
      <c r="S461" s="5">
        <v>47204.28</v>
      </c>
      <c r="T461" s="6">
        <v>2.3800000000000002E-2</v>
      </c>
      <c r="U461" s="5">
        <v>46080.82</v>
      </c>
      <c r="V461" s="5">
        <v>3205.64</v>
      </c>
      <c r="W461" s="6">
        <v>0.20369999999999999</v>
      </c>
      <c r="X461" s="5">
        <v>9386.66</v>
      </c>
      <c r="Y461" s="2" t="s">
        <v>75</v>
      </c>
      <c r="Z461" s="2" t="s">
        <v>125</v>
      </c>
      <c r="AA461" s="2" t="s">
        <v>35</v>
      </c>
    </row>
    <row r="462" spans="1:27">
      <c r="A462" s="2" t="s">
        <v>587</v>
      </c>
      <c r="B462" s="3">
        <v>45796</v>
      </c>
      <c r="C462" s="2">
        <v>2025</v>
      </c>
      <c r="D462" s="2" t="s">
        <v>81</v>
      </c>
      <c r="E462" s="2" t="s">
        <v>49</v>
      </c>
      <c r="F462" s="2" t="s">
        <v>38</v>
      </c>
      <c r="G462" s="2" t="s">
        <v>72</v>
      </c>
      <c r="H462" s="2" t="s">
        <v>73</v>
      </c>
      <c r="I462" s="2" t="s">
        <v>74</v>
      </c>
      <c r="J462" s="2" t="s">
        <v>65</v>
      </c>
      <c r="K462" s="2" t="s">
        <v>100</v>
      </c>
      <c r="L462" s="2" t="s">
        <v>101</v>
      </c>
      <c r="M462" s="2" t="s">
        <v>129</v>
      </c>
      <c r="N462" s="2">
        <v>3.35</v>
      </c>
      <c r="O462" s="2">
        <v>108</v>
      </c>
      <c r="P462" s="2">
        <v>4.2</v>
      </c>
      <c r="Q462" s="4">
        <v>128.16999999999999</v>
      </c>
      <c r="R462" s="5">
        <v>1283.6099999999999</v>
      </c>
      <c r="S462" s="5">
        <v>164520.29</v>
      </c>
      <c r="T462" s="6">
        <v>5.5500000000000001E-2</v>
      </c>
      <c r="U462" s="5">
        <v>155389.41</v>
      </c>
      <c r="V462" s="5">
        <v>2830.75</v>
      </c>
      <c r="W462" s="6">
        <v>0.17030000000000001</v>
      </c>
      <c r="X462" s="5">
        <v>26462.82</v>
      </c>
      <c r="Y462" s="2" t="s">
        <v>33</v>
      </c>
      <c r="Z462" s="2" t="s">
        <v>46</v>
      </c>
      <c r="AA462" s="2" t="s">
        <v>35</v>
      </c>
    </row>
    <row r="463" spans="1:27">
      <c r="A463" s="2" t="s">
        <v>588</v>
      </c>
      <c r="B463" s="3">
        <v>45618</v>
      </c>
      <c r="C463" s="2">
        <v>2024</v>
      </c>
      <c r="D463" s="2" t="s">
        <v>76</v>
      </c>
      <c r="E463" s="2" t="s">
        <v>77</v>
      </c>
      <c r="F463" s="2" t="s">
        <v>86</v>
      </c>
      <c r="G463" s="2" t="s">
        <v>87</v>
      </c>
      <c r="H463" s="2" t="s">
        <v>73</v>
      </c>
      <c r="I463" s="2" t="s">
        <v>88</v>
      </c>
      <c r="J463" s="2" t="s">
        <v>65</v>
      </c>
      <c r="K463" s="2" t="s">
        <v>54</v>
      </c>
      <c r="L463" s="2" t="s">
        <v>54</v>
      </c>
      <c r="M463" s="2" t="s">
        <v>158</v>
      </c>
      <c r="N463" s="2">
        <v>40.67</v>
      </c>
      <c r="O463" s="2">
        <v>2983</v>
      </c>
      <c r="P463" s="2">
        <v>3.8</v>
      </c>
      <c r="Q463" s="4">
        <v>89.59</v>
      </c>
      <c r="R463" s="5">
        <v>1115.8499999999999</v>
      </c>
      <c r="S463" s="5">
        <v>99969</v>
      </c>
      <c r="T463" s="6">
        <v>3.3799999999999997E-2</v>
      </c>
      <c r="U463" s="5">
        <v>96590.05</v>
      </c>
      <c r="V463" s="5">
        <v>2946.03</v>
      </c>
      <c r="W463" s="6">
        <v>0.19439999999999999</v>
      </c>
      <c r="X463" s="5">
        <v>18777.11</v>
      </c>
      <c r="Y463" s="2" t="s">
        <v>83</v>
      </c>
      <c r="Z463" s="2" t="s">
        <v>57</v>
      </c>
      <c r="AA463" s="2" t="s">
        <v>35</v>
      </c>
    </row>
    <row r="464" spans="1:27">
      <c r="A464" s="2" t="s">
        <v>589</v>
      </c>
      <c r="B464" s="3">
        <v>45459</v>
      </c>
      <c r="C464" s="2">
        <v>2024</v>
      </c>
      <c r="D464" s="2" t="s">
        <v>91</v>
      </c>
      <c r="E464" s="2" t="s">
        <v>49</v>
      </c>
      <c r="F464" s="2" t="s">
        <v>118</v>
      </c>
      <c r="G464" s="2" t="s">
        <v>155</v>
      </c>
      <c r="H464" s="2" t="s">
        <v>40</v>
      </c>
      <c r="I464" s="2" t="s">
        <v>74</v>
      </c>
      <c r="J464" s="2" t="s">
        <v>79</v>
      </c>
      <c r="K464" s="2" t="s">
        <v>43</v>
      </c>
      <c r="L464" s="2" t="s">
        <v>44</v>
      </c>
      <c r="M464" s="2" t="s">
        <v>171</v>
      </c>
      <c r="N464" s="2">
        <v>36.479999999999997</v>
      </c>
      <c r="O464" s="2">
        <v>17</v>
      </c>
      <c r="P464" s="2">
        <v>5.3</v>
      </c>
      <c r="Q464" s="4">
        <v>50.4</v>
      </c>
      <c r="R464" s="5">
        <v>703.31</v>
      </c>
      <c r="S464" s="5">
        <v>35446.82</v>
      </c>
      <c r="T464" s="6">
        <v>2.1100000000000001E-2</v>
      </c>
      <c r="U464" s="5">
        <v>34698.89</v>
      </c>
      <c r="V464" s="5">
        <v>2890.44</v>
      </c>
      <c r="W464" s="6">
        <v>0.25380000000000003</v>
      </c>
      <c r="X464" s="5">
        <v>8806.58</v>
      </c>
      <c r="Y464" s="2" t="s">
        <v>75</v>
      </c>
      <c r="Z464" s="2" t="s">
        <v>80</v>
      </c>
      <c r="AA464" s="2" t="s">
        <v>35</v>
      </c>
    </row>
    <row r="465" spans="1:27">
      <c r="A465" s="2" t="s">
        <v>590</v>
      </c>
      <c r="B465" s="3">
        <v>45487</v>
      </c>
      <c r="C465" s="2">
        <v>2024</v>
      </c>
      <c r="D465" s="2" t="s">
        <v>104</v>
      </c>
      <c r="E465" s="2" t="s">
        <v>28</v>
      </c>
      <c r="F465" s="2" t="s">
        <v>38</v>
      </c>
      <c r="G465" s="2" t="s">
        <v>82</v>
      </c>
      <c r="H465" s="2" t="s">
        <v>63</v>
      </c>
      <c r="I465" s="2" t="s">
        <v>32</v>
      </c>
      <c r="J465" s="2" t="s">
        <v>79</v>
      </c>
      <c r="K465" s="2" t="s">
        <v>100</v>
      </c>
      <c r="L465" s="2" t="s">
        <v>101</v>
      </c>
      <c r="M465" s="2" t="s">
        <v>129</v>
      </c>
      <c r="N465" s="2">
        <v>5.19</v>
      </c>
      <c r="O465" s="2">
        <v>222</v>
      </c>
      <c r="P465" s="2">
        <v>6.4</v>
      </c>
      <c r="Q465" s="4">
        <v>177.98</v>
      </c>
      <c r="R465" s="5">
        <v>1216.18</v>
      </c>
      <c r="S465" s="5">
        <v>216455.72</v>
      </c>
      <c r="T465" s="6">
        <v>2.9499999999999998E-2</v>
      </c>
      <c r="U465" s="5">
        <v>210070.28</v>
      </c>
      <c r="V465" s="5">
        <v>3881.93</v>
      </c>
      <c r="W465" s="6">
        <v>0.252</v>
      </c>
      <c r="X465" s="5">
        <v>52937.71</v>
      </c>
      <c r="Y465" s="2" t="s">
        <v>69</v>
      </c>
      <c r="Z465" s="2" t="s">
        <v>57</v>
      </c>
      <c r="AA465" s="2" t="s">
        <v>35</v>
      </c>
    </row>
    <row r="466" spans="1:27">
      <c r="A466" s="2" t="s">
        <v>591</v>
      </c>
      <c r="B466" s="3">
        <v>45747</v>
      </c>
      <c r="C466" s="2">
        <v>2025</v>
      </c>
      <c r="D466" s="2" t="s">
        <v>59</v>
      </c>
      <c r="E466" s="2" t="s">
        <v>60</v>
      </c>
      <c r="F466" s="2" t="s">
        <v>29</v>
      </c>
      <c r="G466" s="2" t="s">
        <v>95</v>
      </c>
      <c r="H466" s="2" t="s">
        <v>31</v>
      </c>
      <c r="I466" s="2" t="s">
        <v>116</v>
      </c>
      <c r="J466" s="2" t="s">
        <v>65</v>
      </c>
      <c r="K466" s="2" t="s">
        <v>54</v>
      </c>
      <c r="L466" s="2" t="s">
        <v>54</v>
      </c>
      <c r="M466" s="2" t="s">
        <v>55</v>
      </c>
      <c r="N466" s="2">
        <v>16.71</v>
      </c>
      <c r="O466" s="2">
        <v>3009</v>
      </c>
      <c r="P466" s="2">
        <v>9</v>
      </c>
      <c r="Q466" s="4">
        <v>195.24</v>
      </c>
      <c r="R466" s="5">
        <v>1202.51</v>
      </c>
      <c r="S466" s="5">
        <v>234778.05</v>
      </c>
      <c r="T466" s="6">
        <v>2.06E-2</v>
      </c>
      <c r="U466" s="5">
        <v>229941.62</v>
      </c>
      <c r="V466" s="5">
        <v>18785.900000000001</v>
      </c>
      <c r="W466" s="6">
        <v>0.154</v>
      </c>
      <c r="X466" s="5">
        <v>35411.01</v>
      </c>
      <c r="Y466" s="2" t="s">
        <v>83</v>
      </c>
      <c r="Z466" s="2" t="s">
        <v>80</v>
      </c>
      <c r="AA466" s="2" t="s">
        <v>35</v>
      </c>
    </row>
    <row r="467" spans="1:27">
      <c r="A467" s="2" t="s">
        <v>592</v>
      </c>
      <c r="B467" s="3">
        <v>45699</v>
      </c>
      <c r="C467" s="2">
        <v>2025</v>
      </c>
      <c r="D467" s="2" t="s">
        <v>113</v>
      </c>
      <c r="E467" s="2" t="s">
        <v>60</v>
      </c>
      <c r="F467" s="2" t="s">
        <v>118</v>
      </c>
      <c r="G467" s="2" t="s">
        <v>121</v>
      </c>
      <c r="H467" s="2" t="s">
        <v>63</v>
      </c>
      <c r="I467" s="2" t="s">
        <v>52</v>
      </c>
      <c r="J467" s="2" t="s">
        <v>79</v>
      </c>
      <c r="K467" s="2" t="s">
        <v>100</v>
      </c>
      <c r="L467" s="2" t="s">
        <v>101</v>
      </c>
      <c r="M467" s="2" t="s">
        <v>129</v>
      </c>
      <c r="N467" s="2">
        <v>15.3</v>
      </c>
      <c r="O467" s="2">
        <v>88</v>
      </c>
      <c r="P467" s="2">
        <v>5</v>
      </c>
      <c r="Q467" s="4">
        <v>195.23</v>
      </c>
      <c r="R467" s="5">
        <v>1042.71</v>
      </c>
      <c r="S467" s="5">
        <v>203568.27</v>
      </c>
      <c r="T467" s="6">
        <v>1.95E-2</v>
      </c>
      <c r="U467" s="5">
        <v>199598.69</v>
      </c>
      <c r="V467" s="5">
        <v>4158.87</v>
      </c>
      <c r="W467" s="6">
        <v>0.18010000000000001</v>
      </c>
      <c r="X467" s="5">
        <v>35947.72</v>
      </c>
      <c r="Y467" s="2" t="s">
        <v>33</v>
      </c>
      <c r="Z467" s="2" t="s">
        <v>106</v>
      </c>
      <c r="AA467" s="2" t="s">
        <v>35</v>
      </c>
    </row>
    <row r="468" spans="1:27">
      <c r="A468" s="2" t="s">
        <v>593</v>
      </c>
      <c r="B468" s="3">
        <v>45434</v>
      </c>
      <c r="C468" s="2">
        <v>2024</v>
      </c>
      <c r="D468" s="2" t="s">
        <v>81</v>
      </c>
      <c r="E468" s="2" t="s">
        <v>49</v>
      </c>
      <c r="F468" s="2" t="s">
        <v>50</v>
      </c>
      <c r="G468" s="2" t="s">
        <v>115</v>
      </c>
      <c r="H468" s="2" t="s">
        <v>73</v>
      </c>
      <c r="I468" s="2" t="s">
        <v>74</v>
      </c>
      <c r="J468" s="2" t="s">
        <v>42</v>
      </c>
      <c r="K468" s="2" t="s">
        <v>43</v>
      </c>
      <c r="L468" s="2" t="s">
        <v>44</v>
      </c>
      <c r="M468" s="2" t="s">
        <v>124</v>
      </c>
      <c r="N468" s="2">
        <v>20.77</v>
      </c>
      <c r="O468" s="2">
        <v>33</v>
      </c>
      <c r="P468" s="2">
        <v>7.7</v>
      </c>
      <c r="Q468" s="4">
        <v>215.03</v>
      </c>
      <c r="R468" s="5">
        <v>797.59</v>
      </c>
      <c r="S468" s="5">
        <v>171505.78</v>
      </c>
      <c r="T468" s="6">
        <v>5.0099999999999999E-2</v>
      </c>
      <c r="U468" s="5">
        <v>162913.34</v>
      </c>
      <c r="V468" s="5">
        <v>7519.8</v>
      </c>
      <c r="W468" s="6">
        <v>0.13139999999999999</v>
      </c>
      <c r="X468" s="5">
        <v>21406.81</v>
      </c>
      <c r="Y468" s="2" t="s">
        <v>33</v>
      </c>
      <c r="Z468" s="2" t="s">
        <v>80</v>
      </c>
      <c r="AA468" s="2" t="s">
        <v>35</v>
      </c>
    </row>
    <row r="469" spans="1:27">
      <c r="A469" s="2" t="s">
        <v>594</v>
      </c>
      <c r="B469" s="3">
        <v>45310</v>
      </c>
      <c r="C469" s="2">
        <v>2024</v>
      </c>
      <c r="D469" s="2" t="s">
        <v>71</v>
      </c>
      <c r="E469" s="2" t="s">
        <v>60</v>
      </c>
      <c r="F469" s="2" t="s">
        <v>61</v>
      </c>
      <c r="G469" s="2" t="s">
        <v>62</v>
      </c>
      <c r="H469" s="2" t="s">
        <v>31</v>
      </c>
      <c r="I469" s="2" t="s">
        <v>93</v>
      </c>
      <c r="J469" s="2" t="s">
        <v>65</v>
      </c>
      <c r="K469" s="2" t="s">
        <v>66</v>
      </c>
      <c r="L469" s="2" t="s">
        <v>67</v>
      </c>
      <c r="M469" s="2" t="s">
        <v>140</v>
      </c>
      <c r="N469" s="2">
        <v>6.3</v>
      </c>
      <c r="O469" s="2">
        <v>173</v>
      </c>
      <c r="P469" s="2">
        <v>6.4</v>
      </c>
      <c r="Q469" s="4">
        <v>155.24</v>
      </c>
      <c r="R469" s="5">
        <v>1709.9</v>
      </c>
      <c r="S469" s="5">
        <v>265444.88</v>
      </c>
      <c r="T469" s="6">
        <v>5.45E-2</v>
      </c>
      <c r="U469" s="5">
        <v>250978.13</v>
      </c>
      <c r="V469" s="5">
        <v>8976.14</v>
      </c>
      <c r="W469" s="6">
        <v>0.21049999999999999</v>
      </c>
      <c r="X469" s="5">
        <v>52830.9</v>
      </c>
      <c r="Y469" s="2" t="s">
        <v>69</v>
      </c>
      <c r="Z469" s="2" t="s">
        <v>106</v>
      </c>
      <c r="AA469" s="2" t="s">
        <v>35</v>
      </c>
    </row>
    <row r="470" spans="1:27">
      <c r="A470" s="2" t="s">
        <v>595</v>
      </c>
      <c r="B470" s="3">
        <v>45895</v>
      </c>
      <c r="C470" s="2">
        <v>2025</v>
      </c>
      <c r="D470" s="2" t="s">
        <v>27</v>
      </c>
      <c r="E470" s="2" t="s">
        <v>28</v>
      </c>
      <c r="F470" s="2" t="s">
        <v>86</v>
      </c>
      <c r="G470" s="2" t="s">
        <v>87</v>
      </c>
      <c r="H470" s="2" t="s">
        <v>73</v>
      </c>
      <c r="I470" s="2" t="s">
        <v>88</v>
      </c>
      <c r="J470" s="2" t="s">
        <v>79</v>
      </c>
      <c r="K470" s="2" t="s">
        <v>100</v>
      </c>
      <c r="L470" s="2" t="s">
        <v>101</v>
      </c>
      <c r="M470" s="2" t="s">
        <v>108</v>
      </c>
      <c r="N470" s="2">
        <v>12.62</v>
      </c>
      <c r="O470" s="2">
        <v>192</v>
      </c>
      <c r="P470" s="2">
        <v>7.4</v>
      </c>
      <c r="Q470" s="4">
        <v>5.52</v>
      </c>
      <c r="R470" s="5">
        <v>1164.4000000000001</v>
      </c>
      <c r="S470" s="5">
        <v>6427.49</v>
      </c>
      <c r="T470" s="6">
        <v>5.4699999999999999E-2</v>
      </c>
      <c r="U470" s="5">
        <v>6075.91</v>
      </c>
      <c r="V470" s="5">
        <v>185.63</v>
      </c>
      <c r="W470" s="6">
        <v>0.15870000000000001</v>
      </c>
      <c r="X470" s="5">
        <v>964.25</v>
      </c>
      <c r="Y470" s="2" t="s">
        <v>75</v>
      </c>
      <c r="Z470" s="2" t="s">
        <v>89</v>
      </c>
      <c r="AA470" s="2" t="s">
        <v>35</v>
      </c>
    </row>
    <row r="471" spans="1:27">
      <c r="A471" s="2" t="s">
        <v>596</v>
      </c>
      <c r="B471" s="3">
        <v>45879</v>
      </c>
      <c r="C471" s="2">
        <v>2025</v>
      </c>
      <c r="D471" s="2" t="s">
        <v>27</v>
      </c>
      <c r="E471" s="2" t="s">
        <v>28</v>
      </c>
      <c r="F471" s="2" t="s">
        <v>38</v>
      </c>
      <c r="G471" s="2" t="s">
        <v>82</v>
      </c>
      <c r="H471" s="2" t="s">
        <v>63</v>
      </c>
      <c r="I471" s="2" t="s">
        <v>116</v>
      </c>
      <c r="J471" s="2" t="s">
        <v>42</v>
      </c>
      <c r="K471" s="2" t="s">
        <v>43</v>
      </c>
      <c r="L471" s="2" t="s">
        <v>44</v>
      </c>
      <c r="M471" s="2" t="s">
        <v>124</v>
      </c>
      <c r="N471" s="2">
        <v>36.22</v>
      </c>
      <c r="O471" s="2">
        <v>35</v>
      </c>
      <c r="P471" s="2">
        <v>7.8</v>
      </c>
      <c r="Q471" s="4">
        <v>36.04</v>
      </c>
      <c r="R471" s="5">
        <v>794.25</v>
      </c>
      <c r="S471" s="5">
        <v>28624.77</v>
      </c>
      <c r="T471" s="6">
        <v>1.7399999999999999E-2</v>
      </c>
      <c r="U471" s="5">
        <v>28126.7</v>
      </c>
      <c r="V471" s="5">
        <v>965.45</v>
      </c>
      <c r="W471" s="6">
        <v>0.1905</v>
      </c>
      <c r="X471" s="5">
        <v>5358.14</v>
      </c>
      <c r="Y471" s="2" t="s">
        <v>75</v>
      </c>
      <c r="Z471" s="2" t="s">
        <v>57</v>
      </c>
      <c r="AA471" s="2" t="s">
        <v>35</v>
      </c>
    </row>
    <row r="472" spans="1:27">
      <c r="A472" s="2" t="s">
        <v>597</v>
      </c>
      <c r="B472" s="3">
        <v>45905</v>
      </c>
      <c r="C472" s="2">
        <v>2025</v>
      </c>
      <c r="D472" s="2" t="s">
        <v>37</v>
      </c>
      <c r="E472" s="2" t="s">
        <v>28</v>
      </c>
      <c r="F472" s="2" t="s">
        <v>61</v>
      </c>
      <c r="G472" s="2" t="s">
        <v>132</v>
      </c>
      <c r="H472" s="2" t="s">
        <v>31</v>
      </c>
      <c r="I472" s="2" t="s">
        <v>32</v>
      </c>
      <c r="J472" s="2" t="s">
        <v>65</v>
      </c>
      <c r="K472" s="2" t="s">
        <v>66</v>
      </c>
      <c r="L472" s="2" t="s">
        <v>67</v>
      </c>
      <c r="M472" s="2" t="s">
        <v>152</v>
      </c>
      <c r="N472" s="2">
        <v>13.74</v>
      </c>
      <c r="O472" s="2">
        <v>237</v>
      </c>
      <c r="P472" s="2">
        <v>9.3000000000000007</v>
      </c>
      <c r="Q472" s="4">
        <v>101.4</v>
      </c>
      <c r="R472" s="5">
        <v>1467.33</v>
      </c>
      <c r="S472" s="5">
        <v>148787.26</v>
      </c>
      <c r="T472" s="6">
        <v>5.8799999999999998E-2</v>
      </c>
      <c r="U472" s="5">
        <v>140038.57</v>
      </c>
      <c r="V472" s="5">
        <v>8448.94</v>
      </c>
      <c r="W472" s="6">
        <v>0.1343</v>
      </c>
      <c r="X472" s="5">
        <v>18807.18</v>
      </c>
      <c r="Y472" s="2" t="s">
        <v>69</v>
      </c>
      <c r="Z472" s="2" t="s">
        <v>89</v>
      </c>
      <c r="AA472" s="2" t="s">
        <v>35</v>
      </c>
    </row>
    <row r="473" spans="1:27">
      <c r="A473" s="2" t="s">
        <v>598</v>
      </c>
      <c r="B473" s="3">
        <v>45504</v>
      </c>
      <c r="C473" s="2">
        <v>2024</v>
      </c>
      <c r="D473" s="2" t="s">
        <v>104</v>
      </c>
      <c r="E473" s="2" t="s">
        <v>28</v>
      </c>
      <c r="F473" s="2" t="s">
        <v>61</v>
      </c>
      <c r="G473" s="2" t="s">
        <v>62</v>
      </c>
      <c r="H473" s="2" t="s">
        <v>63</v>
      </c>
      <c r="I473" s="2" t="s">
        <v>93</v>
      </c>
      <c r="J473" s="2" t="s">
        <v>42</v>
      </c>
      <c r="K473" s="2" t="s">
        <v>43</v>
      </c>
      <c r="L473" s="2" t="s">
        <v>44</v>
      </c>
      <c r="M473" s="2" t="s">
        <v>85</v>
      </c>
      <c r="N473" s="2">
        <v>20.89</v>
      </c>
      <c r="O473" s="2">
        <v>8</v>
      </c>
      <c r="P473" s="2">
        <v>11.4</v>
      </c>
      <c r="Q473" s="4">
        <v>536.71</v>
      </c>
      <c r="R473" s="5">
        <v>717.7</v>
      </c>
      <c r="S473" s="5">
        <v>385196.77</v>
      </c>
      <c r="T473" s="6">
        <v>4.9700000000000001E-2</v>
      </c>
      <c r="U473" s="5">
        <v>366052.49</v>
      </c>
      <c r="V473" s="5">
        <v>15629.95</v>
      </c>
      <c r="W473" s="6">
        <v>0.24970000000000001</v>
      </c>
      <c r="X473" s="5">
        <v>91403.31</v>
      </c>
      <c r="Y473" s="2" t="s">
        <v>56</v>
      </c>
      <c r="Z473" s="2" t="s">
        <v>125</v>
      </c>
      <c r="AA473" s="2" t="s">
        <v>35</v>
      </c>
    </row>
    <row r="474" spans="1:27">
      <c r="A474" s="2" t="s">
        <v>599</v>
      </c>
      <c r="B474" s="3">
        <v>45347</v>
      </c>
      <c r="C474" s="2">
        <v>2024</v>
      </c>
      <c r="D474" s="2" t="s">
        <v>113</v>
      </c>
      <c r="E474" s="2" t="s">
        <v>60</v>
      </c>
      <c r="F474" s="2" t="s">
        <v>118</v>
      </c>
      <c r="G474" s="2" t="s">
        <v>121</v>
      </c>
      <c r="H474" s="2" t="s">
        <v>73</v>
      </c>
      <c r="I474" s="2" t="s">
        <v>41</v>
      </c>
      <c r="J474" s="2" t="s">
        <v>42</v>
      </c>
      <c r="K474" s="2" t="s">
        <v>100</v>
      </c>
      <c r="L474" s="2" t="s">
        <v>101</v>
      </c>
      <c r="M474" s="2" t="s">
        <v>129</v>
      </c>
      <c r="N474" s="2">
        <v>2.2400000000000002</v>
      </c>
      <c r="O474" s="2">
        <v>346</v>
      </c>
      <c r="P474" s="2">
        <v>4.9000000000000004</v>
      </c>
      <c r="Q474" s="4">
        <v>93.22</v>
      </c>
      <c r="R474" s="5">
        <v>965.93</v>
      </c>
      <c r="S474" s="5">
        <v>90043.99</v>
      </c>
      <c r="T474" s="6">
        <v>2.93E-2</v>
      </c>
      <c r="U474" s="5">
        <v>87405.7</v>
      </c>
      <c r="V474" s="5">
        <v>3398.38</v>
      </c>
      <c r="W474" s="6">
        <v>0.1212</v>
      </c>
      <c r="X474" s="5">
        <v>10593.57</v>
      </c>
      <c r="Y474" s="2" t="s">
        <v>69</v>
      </c>
      <c r="Z474" s="2" t="s">
        <v>70</v>
      </c>
      <c r="AA474" s="2" t="s">
        <v>35</v>
      </c>
    </row>
    <row r="475" spans="1:27">
      <c r="A475" s="2" t="s">
        <v>600</v>
      </c>
      <c r="B475" s="3">
        <v>45990</v>
      </c>
      <c r="C475" s="2">
        <v>2025</v>
      </c>
      <c r="D475" s="2" t="s">
        <v>76</v>
      </c>
      <c r="E475" s="2" t="s">
        <v>77</v>
      </c>
      <c r="F475" s="2" t="s">
        <v>118</v>
      </c>
      <c r="G475" s="2" t="s">
        <v>155</v>
      </c>
      <c r="H475" s="2" t="s">
        <v>31</v>
      </c>
      <c r="I475" s="2" t="s">
        <v>74</v>
      </c>
      <c r="J475" s="2" t="s">
        <v>42</v>
      </c>
      <c r="K475" s="2" t="s">
        <v>100</v>
      </c>
      <c r="L475" s="2" t="s">
        <v>101</v>
      </c>
      <c r="M475" s="2" t="s">
        <v>129</v>
      </c>
      <c r="N475" s="2">
        <v>3.79</v>
      </c>
      <c r="O475" s="2">
        <v>75</v>
      </c>
      <c r="P475" s="2">
        <v>3.8</v>
      </c>
      <c r="Q475" s="4">
        <v>194.59</v>
      </c>
      <c r="R475" s="5">
        <v>1215.3</v>
      </c>
      <c r="S475" s="5">
        <v>236485.23</v>
      </c>
      <c r="T475" s="6">
        <v>4.0399999999999998E-2</v>
      </c>
      <c r="U475" s="5">
        <v>226931.23</v>
      </c>
      <c r="V475" s="5">
        <v>17391.41</v>
      </c>
      <c r="W475" s="6">
        <v>0.20219999999999999</v>
      </c>
      <c r="X475" s="5">
        <v>45885.49</v>
      </c>
      <c r="Y475" s="2" t="s">
        <v>56</v>
      </c>
      <c r="Z475" s="2" t="s">
        <v>34</v>
      </c>
      <c r="AA475" s="2" t="s">
        <v>35</v>
      </c>
    </row>
    <row r="476" spans="1:27">
      <c r="A476" s="2" t="s">
        <v>601</v>
      </c>
      <c r="B476" s="3">
        <v>45814</v>
      </c>
      <c r="C476" s="2">
        <v>2025</v>
      </c>
      <c r="D476" s="2" t="s">
        <v>91</v>
      </c>
      <c r="E476" s="2" t="s">
        <v>49</v>
      </c>
      <c r="F476" s="2" t="s">
        <v>50</v>
      </c>
      <c r="G476" s="2" t="s">
        <v>115</v>
      </c>
      <c r="H476" s="2" t="s">
        <v>73</v>
      </c>
      <c r="I476" s="2" t="s">
        <v>52</v>
      </c>
      <c r="J476" s="2" t="s">
        <v>53</v>
      </c>
      <c r="K476" s="2" t="s">
        <v>54</v>
      </c>
      <c r="L476" s="2" t="s">
        <v>54</v>
      </c>
      <c r="M476" s="2" t="s">
        <v>162</v>
      </c>
      <c r="N476" s="2">
        <v>40.270000000000003</v>
      </c>
      <c r="O476" s="2">
        <v>2933</v>
      </c>
      <c r="P476" s="2">
        <v>11.1</v>
      </c>
      <c r="Q476" s="4">
        <v>73.260000000000005</v>
      </c>
      <c r="R476" s="5">
        <v>1250.57</v>
      </c>
      <c r="S476" s="5">
        <v>91616.76</v>
      </c>
      <c r="T476" s="6">
        <v>2.5700000000000001E-2</v>
      </c>
      <c r="U476" s="5">
        <v>89262.21</v>
      </c>
      <c r="V476" s="5">
        <v>2131.44</v>
      </c>
      <c r="W476" s="6">
        <v>0.1714</v>
      </c>
      <c r="X476" s="5">
        <v>15299.54</v>
      </c>
      <c r="Y476" s="2" t="s">
        <v>83</v>
      </c>
      <c r="Z476" s="2" t="s">
        <v>106</v>
      </c>
      <c r="AA476" s="2" t="s">
        <v>35</v>
      </c>
    </row>
    <row r="477" spans="1:27">
      <c r="A477" s="2" t="s">
        <v>602</v>
      </c>
      <c r="B477" s="3">
        <v>45560</v>
      </c>
      <c r="C477" s="2">
        <v>2024</v>
      </c>
      <c r="D477" s="2" t="s">
        <v>37</v>
      </c>
      <c r="E477" s="2" t="s">
        <v>28</v>
      </c>
      <c r="F477" s="2" t="s">
        <v>61</v>
      </c>
      <c r="G477" s="2" t="s">
        <v>62</v>
      </c>
      <c r="H477" s="2" t="s">
        <v>40</v>
      </c>
      <c r="I477" s="2" t="s">
        <v>116</v>
      </c>
      <c r="J477" s="2" t="s">
        <v>65</v>
      </c>
      <c r="K477" s="2" t="s">
        <v>54</v>
      </c>
      <c r="L477" s="2" t="s">
        <v>54</v>
      </c>
      <c r="M477" s="2" t="s">
        <v>94</v>
      </c>
      <c r="N477" s="2">
        <v>12.72</v>
      </c>
      <c r="O477" s="2">
        <v>2949</v>
      </c>
      <c r="P477" s="2">
        <v>6.8</v>
      </c>
      <c r="Q477" s="4">
        <v>8.4499999999999993</v>
      </c>
      <c r="R477" s="5">
        <v>1077.93</v>
      </c>
      <c r="S477" s="5">
        <v>9108.51</v>
      </c>
      <c r="T477" s="6">
        <v>4.41E-2</v>
      </c>
      <c r="U477" s="5">
        <v>8706.82</v>
      </c>
      <c r="V477" s="5">
        <v>694.49</v>
      </c>
      <c r="W477" s="6">
        <v>0.1671</v>
      </c>
      <c r="X477" s="5">
        <v>1454.91</v>
      </c>
      <c r="Y477" s="2" t="s">
        <v>75</v>
      </c>
      <c r="Z477" s="2" t="s">
        <v>125</v>
      </c>
      <c r="AA477" s="2" t="s">
        <v>35</v>
      </c>
    </row>
    <row r="478" spans="1:27">
      <c r="A478" s="2" t="s">
        <v>603</v>
      </c>
      <c r="B478" s="3">
        <v>45914</v>
      </c>
      <c r="C478" s="2">
        <v>2025</v>
      </c>
      <c r="D478" s="2" t="s">
        <v>37</v>
      </c>
      <c r="E478" s="2" t="s">
        <v>28</v>
      </c>
      <c r="F478" s="2" t="s">
        <v>29</v>
      </c>
      <c r="G478" s="2" t="s">
        <v>30</v>
      </c>
      <c r="H478" s="2" t="s">
        <v>40</v>
      </c>
      <c r="I478" s="2" t="s">
        <v>116</v>
      </c>
      <c r="J478" s="2" t="s">
        <v>65</v>
      </c>
      <c r="K478" s="2" t="s">
        <v>100</v>
      </c>
      <c r="L478" s="2" t="s">
        <v>101</v>
      </c>
      <c r="M478" s="2" t="s">
        <v>102</v>
      </c>
      <c r="N478" s="2">
        <v>3.19</v>
      </c>
      <c r="O478" s="2">
        <v>563</v>
      </c>
      <c r="P478" s="2">
        <v>5.0999999999999996</v>
      </c>
      <c r="Q478" s="4">
        <v>225.56</v>
      </c>
      <c r="R478" s="5">
        <v>1138.47</v>
      </c>
      <c r="S478" s="5">
        <v>256793.29</v>
      </c>
      <c r="T478" s="6">
        <v>2.18E-2</v>
      </c>
      <c r="U478" s="5">
        <v>251195.2</v>
      </c>
      <c r="V478" s="5">
        <v>18889.849999999999</v>
      </c>
      <c r="W478" s="6">
        <v>0.24809999999999999</v>
      </c>
      <c r="X478" s="5">
        <v>62321.53</v>
      </c>
      <c r="Y478" s="2" t="s">
        <v>69</v>
      </c>
      <c r="Z478" s="2" t="s">
        <v>106</v>
      </c>
      <c r="AA478" s="2"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18D8-3394-4AB4-A8F0-01651B5E7549}">
  <dimension ref="A1"/>
  <sheetViews>
    <sheetView workbookViewId="0">
      <selection activeCell="P14" sqref="P14"/>
    </sheetView>
  </sheetViews>
  <sheetFormatPr defaultRowHeight="13.8"/>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F948-9B51-4CEE-991E-88BB0A5522EF}">
  <dimension ref="A1:A11"/>
  <sheetViews>
    <sheetView workbookViewId="0">
      <selection activeCell="G22" sqref="G22"/>
    </sheetView>
  </sheetViews>
  <sheetFormatPr defaultRowHeight="13.8"/>
  <cols>
    <col min="1" max="1" width="30.296875" customWidth="1"/>
  </cols>
  <sheetData>
    <row r="1" spans="1:1">
      <c r="A1" t="s">
        <v>632</v>
      </c>
    </row>
    <row r="2" spans="1:1">
      <c r="A2" s="8">
        <f>SUM(SteelSalesSample[Net Sales USD])</f>
        <v>73932814.759999946</v>
      </c>
    </row>
    <row r="4" spans="1:1">
      <c r="A4" t="s">
        <v>633</v>
      </c>
    </row>
    <row r="5" spans="1:1">
      <c r="A5" s="9">
        <f>SUM(SteelSalesSample[Quantity tons])</f>
        <v>74698.509999999966</v>
      </c>
    </row>
    <row r="7" spans="1:1">
      <c r="A7" s="10" t="s">
        <v>634</v>
      </c>
    </row>
    <row r="8" spans="1:1">
      <c r="A8" s="11">
        <f>AVERAGE(SteelSalesSample[Margin %])</f>
        <v>0.19269433962264151</v>
      </c>
    </row>
    <row r="10" spans="1:1">
      <c r="A10" s="10" t="s">
        <v>635</v>
      </c>
    </row>
    <row r="11" spans="1:1">
      <c r="A11" s="12">
        <f>SUMPRODUCT((SteelSalesSample[Customer Segment]&lt;&gt;"")/COUNTIF(SteelSalesSample[Customer Segment],SteelSalesSample[Customer Segment]&amp;""))</f>
        <v>7.9999999999999964</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65ED-DD0C-4D2D-8E4C-43833448A3F0}">
  <dimension ref="A1:E16"/>
  <sheetViews>
    <sheetView workbookViewId="0">
      <selection activeCell="B28" sqref="B28"/>
    </sheetView>
  </sheetViews>
  <sheetFormatPr defaultRowHeight="13.8"/>
  <cols>
    <col min="1" max="1" width="31.69921875" bestFit="1" customWidth="1"/>
    <col min="2" max="2" width="20.3984375" bestFit="1" customWidth="1"/>
    <col min="5" max="5" width="20.3984375" bestFit="1" customWidth="1"/>
  </cols>
  <sheetData>
    <row r="1" spans="1:5" ht="17.399999999999999">
      <c r="A1" s="14" t="s">
        <v>636</v>
      </c>
      <c r="B1" s="14"/>
    </row>
    <row r="3" spans="1:5">
      <c r="A3" s="15" t="s">
        <v>10</v>
      </c>
      <c r="B3" s="15" t="s">
        <v>649</v>
      </c>
      <c r="C3" s="15" t="s">
        <v>650</v>
      </c>
      <c r="D3" s="15" t="s">
        <v>651</v>
      </c>
      <c r="E3" t="s">
        <v>642</v>
      </c>
    </row>
    <row r="4" spans="1:5">
      <c r="A4" t="s">
        <v>54</v>
      </c>
      <c r="B4" t="s">
        <v>652</v>
      </c>
      <c r="E4" s="16">
        <v>7434299.3699999992</v>
      </c>
    </row>
    <row r="5" spans="1:5">
      <c r="B5" t="s">
        <v>653</v>
      </c>
      <c r="E5" s="16">
        <v>7361885.5</v>
      </c>
    </row>
    <row r="6" spans="1:5">
      <c r="A6" t="s">
        <v>645</v>
      </c>
      <c r="E6" s="16">
        <v>14796184.869999999</v>
      </c>
    </row>
    <row r="7" spans="1:5">
      <c r="A7" t="s">
        <v>43</v>
      </c>
      <c r="B7" t="s">
        <v>652</v>
      </c>
      <c r="E7" s="16">
        <v>12449321.24</v>
      </c>
    </row>
    <row r="8" spans="1:5">
      <c r="B8" t="s">
        <v>653</v>
      </c>
      <c r="E8" s="16">
        <v>10864826.839999998</v>
      </c>
    </row>
    <row r="9" spans="1:5">
      <c r="A9" t="s">
        <v>646</v>
      </c>
      <c r="E9" s="16">
        <v>23314148.079999998</v>
      </c>
    </row>
    <row r="10" spans="1:5">
      <c r="A10" t="s">
        <v>100</v>
      </c>
      <c r="B10" t="s">
        <v>652</v>
      </c>
      <c r="E10" s="16">
        <v>12003737.100000003</v>
      </c>
    </row>
    <row r="11" spans="1:5">
      <c r="B11" t="s">
        <v>653</v>
      </c>
      <c r="E11" s="16">
        <v>10733124.58</v>
      </c>
    </row>
    <row r="12" spans="1:5">
      <c r="A12" t="s">
        <v>647</v>
      </c>
      <c r="E12" s="16">
        <v>22736861.680000003</v>
      </c>
    </row>
    <row r="13" spans="1:5">
      <c r="A13" t="s">
        <v>66</v>
      </c>
      <c r="B13" t="s">
        <v>652</v>
      </c>
      <c r="E13" s="16">
        <v>6340285.5199999996</v>
      </c>
    </row>
    <row r="14" spans="1:5">
      <c r="B14" t="s">
        <v>653</v>
      </c>
      <c r="E14" s="16">
        <v>6745334.6100000013</v>
      </c>
    </row>
    <row r="15" spans="1:5">
      <c r="A15" t="s">
        <v>648</v>
      </c>
      <c r="E15" s="16">
        <v>13085620.130000001</v>
      </c>
    </row>
    <row r="16" spans="1:5">
      <c r="A16" t="s">
        <v>641</v>
      </c>
      <c r="E16" s="16">
        <v>73932814.75999999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43F5-7FDF-4CEF-BD5A-EB4C86DE84E2}">
  <dimension ref="A1:B11"/>
  <sheetViews>
    <sheetView workbookViewId="0">
      <selection activeCell="A4" sqref="A4:B10"/>
    </sheetView>
  </sheetViews>
  <sheetFormatPr defaultRowHeight="13.8"/>
  <cols>
    <col min="1" max="1" width="23" bestFit="1" customWidth="1"/>
    <col min="2" max="2" width="20.3984375" bestFit="1" customWidth="1"/>
  </cols>
  <sheetData>
    <row r="1" spans="1:2" ht="17.399999999999999">
      <c r="A1" s="14" t="s">
        <v>637</v>
      </c>
      <c r="B1" s="14"/>
    </row>
    <row r="3" spans="1:2">
      <c r="A3" s="15" t="s">
        <v>5</v>
      </c>
      <c r="B3" t="s">
        <v>642</v>
      </c>
    </row>
    <row r="4" spans="1:2">
      <c r="A4" t="s">
        <v>86</v>
      </c>
      <c r="B4" s="16">
        <v>8463659.2600000016</v>
      </c>
    </row>
    <row r="5" spans="1:2">
      <c r="A5" t="s">
        <v>38</v>
      </c>
      <c r="B5" s="16">
        <v>8927094.1999999993</v>
      </c>
    </row>
    <row r="6" spans="1:2">
      <c r="A6" t="s">
        <v>50</v>
      </c>
      <c r="B6" s="16">
        <v>13997071.030000001</v>
      </c>
    </row>
    <row r="7" spans="1:2">
      <c r="A7" t="s">
        <v>61</v>
      </c>
      <c r="B7" s="16">
        <v>11586483.790000001</v>
      </c>
    </row>
    <row r="8" spans="1:2">
      <c r="A8" t="s">
        <v>29</v>
      </c>
      <c r="B8" s="16">
        <v>9037875.2300000004</v>
      </c>
    </row>
    <row r="9" spans="1:2">
      <c r="A9" t="s">
        <v>118</v>
      </c>
      <c r="B9" s="16">
        <v>10800080.359999999</v>
      </c>
    </row>
    <row r="10" spans="1:2">
      <c r="A10" t="s">
        <v>98</v>
      </c>
      <c r="B10" s="16">
        <v>11120550.889999997</v>
      </c>
    </row>
    <row r="11" spans="1:2">
      <c r="A11" t="s">
        <v>641</v>
      </c>
      <c r="B11" s="16">
        <v>73932814.760000005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FD83-FCDC-4D6E-8BD5-05A78A846208}">
  <dimension ref="A1:B16"/>
  <sheetViews>
    <sheetView workbookViewId="0">
      <selection activeCell="I22" sqref="I22"/>
    </sheetView>
  </sheetViews>
  <sheetFormatPr defaultRowHeight="13.8"/>
  <cols>
    <col min="1" max="1" width="22.09765625" bestFit="1" customWidth="1"/>
    <col min="2" max="2" width="20.3984375" bestFit="1" customWidth="1"/>
  </cols>
  <sheetData>
    <row r="1" spans="1:2" ht="17.399999999999999">
      <c r="A1" s="14" t="s">
        <v>638</v>
      </c>
      <c r="B1" s="14"/>
    </row>
    <row r="3" spans="1:2">
      <c r="A3" s="15" t="s">
        <v>3</v>
      </c>
      <c r="B3" t="s">
        <v>642</v>
      </c>
    </row>
    <row r="4" spans="1:2">
      <c r="A4" t="s">
        <v>71</v>
      </c>
      <c r="B4" s="16">
        <v>5211621.13</v>
      </c>
    </row>
    <row r="5" spans="1:2">
      <c r="A5" t="s">
        <v>113</v>
      </c>
      <c r="B5" s="16">
        <v>3996150.4899999998</v>
      </c>
    </row>
    <row r="6" spans="1:2">
      <c r="A6" t="s">
        <v>59</v>
      </c>
      <c r="B6" s="16">
        <v>7928055.2900000019</v>
      </c>
    </row>
    <row r="7" spans="1:2">
      <c r="A7" t="s">
        <v>48</v>
      </c>
      <c r="B7" s="16">
        <v>6600786.8500000015</v>
      </c>
    </row>
    <row r="8" spans="1:2">
      <c r="A8" t="s">
        <v>81</v>
      </c>
      <c r="B8" s="16">
        <v>8505897.5300000012</v>
      </c>
    </row>
    <row r="9" spans="1:2">
      <c r="A9" t="s">
        <v>91</v>
      </c>
      <c r="B9" s="16">
        <v>5571099.3299999991</v>
      </c>
    </row>
    <row r="10" spans="1:2">
      <c r="A10" t="s">
        <v>104</v>
      </c>
      <c r="B10" s="16">
        <v>4645191.99</v>
      </c>
    </row>
    <row r="11" spans="1:2">
      <c r="A11" t="s">
        <v>27</v>
      </c>
      <c r="B11" s="16">
        <v>5939817.5200000005</v>
      </c>
    </row>
    <row r="12" spans="1:2">
      <c r="A12" t="s">
        <v>37</v>
      </c>
      <c r="B12" s="16">
        <v>8261289.8499999996</v>
      </c>
    </row>
    <row r="13" spans="1:2">
      <c r="A13" t="s">
        <v>110</v>
      </c>
      <c r="B13" s="16">
        <v>7141046.5499999998</v>
      </c>
    </row>
    <row r="14" spans="1:2">
      <c r="A14" t="s">
        <v>76</v>
      </c>
      <c r="B14" s="16">
        <v>5809446.2400000012</v>
      </c>
    </row>
    <row r="15" spans="1:2">
      <c r="A15" t="s">
        <v>97</v>
      </c>
      <c r="B15" s="16">
        <v>4322411.99</v>
      </c>
    </row>
    <row r="16" spans="1:2">
      <c r="A16" t="s">
        <v>641</v>
      </c>
      <c r="B16" s="16">
        <v>73932814.760000005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5184-33A8-4BA4-A9CC-246BC716E3D4}">
  <dimension ref="A1:B8"/>
  <sheetViews>
    <sheetView workbookViewId="0">
      <selection activeCell="A4" sqref="A4"/>
    </sheetView>
  </sheetViews>
  <sheetFormatPr defaultRowHeight="13.8"/>
  <cols>
    <col min="1" max="1" width="23.3984375" bestFit="1" customWidth="1"/>
    <col min="2" max="2" width="19.5" bestFit="1" customWidth="1"/>
  </cols>
  <sheetData>
    <row r="1" spans="1:2" ht="17.399999999999999">
      <c r="A1" s="14" t="s">
        <v>639</v>
      </c>
      <c r="B1" s="14"/>
    </row>
    <row r="3" spans="1:2">
      <c r="A3" s="15" t="s">
        <v>11</v>
      </c>
      <c r="B3" t="s">
        <v>643</v>
      </c>
    </row>
    <row r="4" spans="1:2">
      <c r="A4" t="s">
        <v>44</v>
      </c>
      <c r="B4" s="9">
        <v>33012.650000000009</v>
      </c>
    </row>
    <row r="5" spans="1:2">
      <c r="A5" t="s">
        <v>101</v>
      </c>
      <c r="B5" s="9">
        <v>19752.59</v>
      </c>
    </row>
    <row r="6" spans="1:2">
      <c r="A6" t="s">
        <v>54</v>
      </c>
      <c r="B6" s="9">
        <v>13115.25</v>
      </c>
    </row>
    <row r="7" spans="1:2">
      <c r="A7" t="s">
        <v>67</v>
      </c>
      <c r="B7" s="9">
        <v>8818.02</v>
      </c>
    </row>
    <row r="8" spans="1:2">
      <c r="A8" t="s">
        <v>641</v>
      </c>
      <c r="B8" s="9">
        <v>74698.510000000009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204C-3FB7-4F63-BCC4-30E9F5841D37}">
  <dimension ref="A1:B12"/>
  <sheetViews>
    <sheetView workbookViewId="0"/>
  </sheetViews>
  <sheetFormatPr defaultRowHeight="13.8"/>
  <cols>
    <col min="1" max="1" width="41.59765625" bestFit="1" customWidth="1"/>
    <col min="2" max="2" width="27.296875" bestFit="1" customWidth="1"/>
  </cols>
  <sheetData>
    <row r="1" spans="1:2" ht="17.399999999999999">
      <c r="A1" s="14" t="s">
        <v>640</v>
      </c>
      <c r="B1" s="14"/>
    </row>
    <row r="3" spans="1:2">
      <c r="A3" s="15" t="s">
        <v>8</v>
      </c>
      <c r="B3" t="s">
        <v>644</v>
      </c>
    </row>
    <row r="4" spans="1:2">
      <c r="A4" t="s">
        <v>41</v>
      </c>
      <c r="B4" s="16">
        <v>32817.736935483867</v>
      </c>
    </row>
    <row r="5" spans="1:2">
      <c r="A5" t="s">
        <v>116</v>
      </c>
      <c r="B5" s="16">
        <v>28661.697636363624</v>
      </c>
    </row>
    <row r="6" spans="1:2">
      <c r="A6" t="s">
        <v>52</v>
      </c>
      <c r="B6" s="16">
        <v>28669.996718749993</v>
      </c>
    </row>
    <row r="7" spans="1:2">
      <c r="A7" t="s">
        <v>64</v>
      </c>
      <c r="B7" s="16">
        <v>26583.421587301589</v>
      </c>
    </row>
    <row r="8" spans="1:2">
      <c r="A8" t="s">
        <v>88</v>
      </c>
      <c r="B8" s="16">
        <v>35356.431081081093</v>
      </c>
    </row>
    <row r="9" spans="1:2">
      <c r="A9" t="s">
        <v>93</v>
      </c>
      <c r="B9" s="16">
        <v>31229.276530612246</v>
      </c>
    </row>
    <row r="10" spans="1:2">
      <c r="A10" t="s">
        <v>32</v>
      </c>
      <c r="B10" s="16">
        <v>29183.223728813562</v>
      </c>
    </row>
    <row r="11" spans="1:2">
      <c r="A11" t="s">
        <v>74</v>
      </c>
      <c r="B11" s="16">
        <v>25347.08666666667</v>
      </c>
    </row>
    <row r="12" spans="1:2">
      <c r="A12" t="s">
        <v>641</v>
      </c>
      <c r="B12" s="16">
        <v>29940.986331236916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BB42-2FEF-4E04-9A78-41D371BC1BD3}">
  <dimension ref="A1"/>
  <sheetViews>
    <sheetView workbookViewId="0">
      <selection activeCell="K11" sqref="K11"/>
    </sheetView>
  </sheetViews>
  <sheetFormatPr defaultRowHeight="13.8"/>
  <sheetData>
    <row r="1" spans="1:1" ht="17.399999999999999">
      <c r="A1" s="13" t="s">
        <v>637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4E39-2873-4EE3-B4D5-5CEEB194CAF7}">
  <dimension ref="A1:B1"/>
  <sheetViews>
    <sheetView workbookViewId="0">
      <selection activeCell="E30" sqref="E30"/>
    </sheetView>
  </sheetViews>
  <sheetFormatPr defaultRowHeight="13.8"/>
  <sheetData>
    <row r="1" spans="1:2" ht="17.399999999999999">
      <c r="A1" s="13" t="s">
        <v>654</v>
      </c>
      <c r="B1" s="1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showGridLines="0" workbookViewId="0">
      <selection activeCell="B28" sqref="B28"/>
    </sheetView>
  </sheetViews>
  <sheetFormatPr defaultRowHeight="13.8"/>
  <cols>
    <col min="1" max="1" width="44.09765625" customWidth="1"/>
    <col min="2" max="2" width="133.8984375" customWidth="1"/>
    <col min="3" max="3" width="91.5" customWidth="1"/>
    <col min="4" max="4" width="111.69921875" customWidth="1"/>
  </cols>
  <sheetData>
    <row r="1" spans="1:4">
      <c r="A1" s="1" t="s">
        <v>604</v>
      </c>
      <c r="B1" s="1" t="s">
        <v>605</v>
      </c>
      <c r="C1" s="1" t="s">
        <v>606</v>
      </c>
      <c r="D1" s="1" t="s">
        <v>607</v>
      </c>
    </row>
    <row r="2" spans="1:4">
      <c r="A2" s="2" t="s">
        <v>608</v>
      </c>
      <c r="B2" s="7" t="s">
        <v>609</v>
      </c>
      <c r="C2" s="2" t="s">
        <v>610</v>
      </c>
      <c r="D2" s="7" t="s">
        <v>611</v>
      </c>
    </row>
    <row r="3" spans="1:4">
      <c r="A3" s="2" t="s">
        <v>612</v>
      </c>
      <c r="B3" s="7" t="s">
        <v>613</v>
      </c>
      <c r="C3" s="2" t="s">
        <v>614</v>
      </c>
      <c r="D3" s="7" t="s">
        <v>615</v>
      </c>
    </row>
    <row r="4" spans="1:4">
      <c r="A4" s="2" t="s">
        <v>616</v>
      </c>
      <c r="B4" s="7" t="s">
        <v>617</v>
      </c>
      <c r="C4" s="2" t="s">
        <v>618</v>
      </c>
      <c r="D4" s="7" t="s">
        <v>619</v>
      </c>
    </row>
    <row r="5" spans="1:4" ht="27.6">
      <c r="A5" s="2" t="s">
        <v>620</v>
      </c>
      <c r="B5" s="7" t="s">
        <v>621</v>
      </c>
      <c r="C5" s="2" t="s">
        <v>622</v>
      </c>
      <c r="D5" s="7" t="s">
        <v>623</v>
      </c>
    </row>
    <row r="6" spans="1:4">
      <c r="A6" s="2" t="s">
        <v>624</v>
      </c>
      <c r="B6" s="7" t="s">
        <v>625</v>
      </c>
      <c r="C6" s="2" t="s">
        <v>626</v>
      </c>
      <c r="D6" s="7" t="s">
        <v>627</v>
      </c>
    </row>
    <row r="7" spans="1:4" ht="27.6">
      <c r="A7" s="2" t="s">
        <v>628</v>
      </c>
      <c r="B7" s="2" t="s">
        <v>629</v>
      </c>
      <c r="C7" s="2" t="s">
        <v>630</v>
      </c>
      <c r="D7" s="7"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vt:lpstr>
      <vt:lpstr>Slicers</vt:lpstr>
      <vt:lpstr>Dashboard</vt:lpstr>
      <vt:lpstr>Pivot - Product Family</vt:lpstr>
      <vt:lpstr>Pivot - Region</vt:lpstr>
      <vt:lpstr>Pivot - Month</vt:lpstr>
      <vt:lpstr>Pivot - Product</vt:lpstr>
      <vt:lpstr>Pivot - Customer Segment</vt:lpstr>
      <vt:lpstr>Revenue By region </vt:lpstr>
      <vt:lpstr> Monthly Sales Trend</vt:lpstr>
      <vt:lpstr>Sources_Assumptions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Harshvardhan Shrivastava</cp:lastModifiedBy>
  <dcterms:created xsi:type="dcterms:W3CDTF">2026-06-09T05:48:41Z</dcterms:created>
  <dcterms:modified xsi:type="dcterms:W3CDTF">2026-06-09T05:48:41Z</dcterms:modified>
</cp:coreProperties>
</file>